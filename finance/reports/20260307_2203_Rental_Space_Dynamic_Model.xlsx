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Y_Financial_Model_a16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2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</cols>
  <sheetData>
    <row r="1">
      <c r="A1" s="1" t="inlineStr">
        <is>
          <t>【前提条件 (Assumptions)】</t>
        </is>
      </c>
    </row>
    <row r="3">
      <c r="A3" t="inlineStr">
        <is>
          <t>池袋 店舗面積(坪)</t>
        </is>
      </c>
      <c r="B3" t="n">
        <v>15</v>
      </c>
      <c r="D3" t="inlineStr">
        <is>
          <t>大久保 店舗面積(坪)</t>
        </is>
      </c>
      <c r="E3" t="n">
        <v>15</v>
      </c>
      <c r="G3" t="inlineStr">
        <is>
          <t>秋葉原 店舗面積(坪)</t>
        </is>
      </c>
      <c r="H3" t="n">
        <v>15</v>
      </c>
    </row>
    <row r="4">
      <c r="A4" t="inlineStr">
        <is>
          <t>池袋 坪単価</t>
        </is>
      </c>
      <c r="B4" t="n">
        <v>31000</v>
      </c>
      <c r="D4" t="inlineStr">
        <is>
          <t>大久保 坪単価</t>
        </is>
      </c>
      <c r="E4" t="n">
        <v>31500</v>
      </c>
      <c r="G4" t="inlineStr">
        <is>
          <t>秋葉原 坪単価</t>
        </is>
      </c>
      <c r="H4" t="n">
        <v>28500</v>
      </c>
    </row>
    <row r="5">
      <c r="A5" t="inlineStr">
        <is>
          <t>池袋 家賃/月</t>
        </is>
      </c>
      <c r="B5" s="2">
        <f>B3*B4</f>
        <v/>
      </c>
      <c r="D5" t="inlineStr">
        <is>
          <t>大久保 家賃/月</t>
        </is>
      </c>
      <c r="E5" s="2">
        <f>E3*E4</f>
        <v/>
      </c>
      <c r="G5" t="inlineStr">
        <is>
          <t>秋葉原 家賃/月</t>
        </is>
      </c>
      <c r="H5" s="2">
        <f>H3*H4</f>
        <v/>
      </c>
    </row>
    <row r="6">
      <c r="A6" t="inlineStr">
        <is>
          <t>池袋 時間単価(円)</t>
        </is>
      </c>
      <c r="B6" s="2" t="n">
        <v>3500</v>
      </c>
      <c r="D6" t="inlineStr">
        <is>
          <t>大久保 時間単価(円)</t>
        </is>
      </c>
      <c r="E6" s="2" t="n">
        <v>3000</v>
      </c>
      <c r="G6" t="inlineStr">
        <is>
          <t>秋葉原 時間単価(円)</t>
        </is>
      </c>
      <c r="H6" s="2" t="n">
        <v>4000</v>
      </c>
    </row>
    <row r="7">
      <c r="A7" t="inlineStr">
        <is>
          <t>池袋 オープン月</t>
        </is>
      </c>
      <c r="B7" t="n">
        <v>1</v>
      </c>
      <c r="D7" t="inlineStr">
        <is>
          <t>大久保 オープン月</t>
        </is>
      </c>
      <c r="E7" t="n">
        <v>6</v>
      </c>
      <c r="G7" t="inlineStr">
        <is>
          <t>秋葉原 オープン月</t>
        </is>
      </c>
      <c r="H7" t="n">
        <v>12</v>
      </c>
    </row>
    <row r="9">
      <c r="A9" t="inlineStr">
        <is>
          <t>初期稼働時間(時間/日)</t>
        </is>
      </c>
      <c r="B9" t="n">
        <v>3</v>
      </c>
      <c r="D9" t="inlineStr">
        <is>
          <t>月間広告宣伝費(全店計)</t>
        </is>
      </c>
      <c r="E9" s="2" t="n">
        <v>100000</v>
      </c>
    </row>
    <row r="10">
      <c r="A10" t="inlineStr">
        <is>
          <t>月次稼働成長率(単利化)</t>
        </is>
      </c>
      <c r="B10" s="3" t="n">
        <v>0.15</v>
      </c>
      <c r="D10" t="inlineStr">
        <is>
          <t>月間システム管理費</t>
        </is>
      </c>
      <c r="E10" s="2" t="n">
        <v>50000</v>
      </c>
    </row>
    <row r="11">
      <c r="A11" t="inlineStr">
        <is>
          <t>最大稼働時間(時間/日)</t>
        </is>
      </c>
      <c r="B11" t="n">
        <v>16</v>
      </c>
      <c r="D11" t="inlineStr">
        <is>
          <t>1店舗の初期投資(CAPEX)</t>
        </is>
      </c>
      <c r="E11" s="2" t="n">
        <v>3000000</v>
      </c>
    </row>
    <row r="12">
      <c r="A12" t="inlineStr">
        <is>
          <t>PF手数料率(Airbnb等)</t>
        </is>
      </c>
      <c r="B12" s="3" t="n">
        <v>0.2</v>
      </c>
    </row>
    <row r="15">
      <c r="A15" s="4" t="inlineStr">
        <is>
          <t>勘定科目 (P&amp;L Items)</t>
        </is>
      </c>
      <c r="B15" s="5" t="inlineStr">
        <is>
          <t>Month 1</t>
        </is>
      </c>
      <c r="C15" s="5" t="inlineStr">
        <is>
          <t>Month 2</t>
        </is>
      </c>
      <c r="D15" s="5" t="inlineStr">
        <is>
          <t>Month 3</t>
        </is>
      </c>
      <c r="E15" s="5" t="inlineStr">
        <is>
          <t>Month 4</t>
        </is>
      </c>
      <c r="F15" s="5" t="inlineStr">
        <is>
          <t>Month 5</t>
        </is>
      </c>
      <c r="G15" s="5" t="inlineStr">
        <is>
          <t>Month 6</t>
        </is>
      </c>
      <c r="H15" s="5" t="inlineStr">
        <is>
          <t>Month 7</t>
        </is>
      </c>
      <c r="I15" s="5" t="inlineStr">
        <is>
          <t>Month 8</t>
        </is>
      </c>
      <c r="J15" s="5" t="inlineStr">
        <is>
          <t>Month 9</t>
        </is>
      </c>
      <c r="K15" s="5" t="inlineStr">
        <is>
          <t>Month 10</t>
        </is>
      </c>
      <c r="L15" s="5" t="inlineStr">
        <is>
          <t>Month 11</t>
        </is>
      </c>
      <c r="M15" s="5" t="inlineStr">
        <is>
          <t>Month 12</t>
        </is>
      </c>
      <c r="N15" s="5" t="inlineStr">
        <is>
          <t>Month 13</t>
        </is>
      </c>
      <c r="O15" s="5" t="inlineStr">
        <is>
          <t>Month 14</t>
        </is>
      </c>
      <c r="P15" s="5" t="inlineStr">
        <is>
          <t>Month 15</t>
        </is>
      </c>
      <c r="Q15" s="5" t="inlineStr">
        <is>
          <t>Month 16</t>
        </is>
      </c>
      <c r="R15" s="5" t="inlineStr">
        <is>
          <t>Month 17</t>
        </is>
      </c>
      <c r="S15" s="5" t="inlineStr">
        <is>
          <t>Month 18</t>
        </is>
      </c>
      <c r="T15" s="5" t="inlineStr">
        <is>
          <t>Month 19</t>
        </is>
      </c>
      <c r="U15" s="5" t="inlineStr">
        <is>
          <t>Month 20</t>
        </is>
      </c>
      <c r="V15" s="5" t="inlineStr">
        <is>
          <t>Month 21</t>
        </is>
      </c>
      <c r="W15" s="5" t="inlineStr">
        <is>
          <t>Month 22</t>
        </is>
      </c>
      <c r="X15" s="5" t="inlineStr">
        <is>
          <t>Month 23</t>
        </is>
      </c>
      <c r="Y15" s="5" t="inlineStr">
        <is>
          <t>Month 24</t>
        </is>
      </c>
      <c r="Z15" s="5" t="inlineStr">
        <is>
          <t>Month 25</t>
        </is>
      </c>
      <c r="AA15" s="5" t="inlineStr">
        <is>
          <t>Month 26</t>
        </is>
      </c>
      <c r="AB15" s="5" t="inlineStr">
        <is>
          <t>Month 27</t>
        </is>
      </c>
      <c r="AC15" s="5" t="inlineStr">
        <is>
          <t>Month 28</t>
        </is>
      </c>
      <c r="AD15" s="5" t="inlineStr">
        <is>
          <t>Month 29</t>
        </is>
      </c>
      <c r="AE15" s="5" t="inlineStr">
        <is>
          <t>Month 30</t>
        </is>
      </c>
      <c r="AF15" s="5" t="inlineStr">
        <is>
          <t>Month 31</t>
        </is>
      </c>
      <c r="AG15" s="5" t="inlineStr">
        <is>
          <t>Month 32</t>
        </is>
      </c>
      <c r="AH15" s="5" t="inlineStr">
        <is>
          <t>Month 33</t>
        </is>
      </c>
      <c r="AI15" s="5" t="inlineStr">
        <is>
          <t>Month 34</t>
        </is>
      </c>
      <c r="AJ15" s="5" t="inlineStr">
        <is>
          <t>Month 35</t>
        </is>
      </c>
      <c r="AK15" s="5" t="inlineStr">
        <is>
          <t>Month 36</t>
        </is>
      </c>
    </row>
    <row r="16">
      <c r="A16" s="4" t="inlineStr">
        <is>
          <t>【KPI: 1日あたり平均利用時間】</t>
        </is>
      </c>
    </row>
    <row r="17">
      <c r="A17" t="inlineStr">
        <is>
          <t xml:space="preserve">  └ 池袋 稼働(時間/日)</t>
        </is>
      </c>
      <c r="B17" s="6">
        <f>IF(1&gt;=$B$7, MIN($B$9*(1+$B$10)^(1-$B$7), $B$11), 0)</f>
        <v/>
      </c>
      <c r="C17" s="6">
        <f>IF(2&gt;=$B$7, MIN($B$9*(1+$B$10)^(2-$B$7), $B$11), 0)</f>
        <v/>
      </c>
      <c r="D17" s="6">
        <f>IF(3&gt;=$B$7, MIN($B$9*(1+$B$10)^(3-$B$7), $B$11), 0)</f>
        <v/>
      </c>
      <c r="E17" s="6">
        <f>IF(4&gt;=$B$7, MIN($B$9*(1+$B$10)^(4-$B$7), $B$11), 0)</f>
        <v/>
      </c>
      <c r="F17" s="6">
        <f>IF(5&gt;=$B$7, MIN($B$9*(1+$B$10)^(5-$B$7), $B$11), 0)</f>
        <v/>
      </c>
      <c r="G17" s="6">
        <f>IF(6&gt;=$B$7, MIN($B$9*(1+$B$10)^(6-$B$7), $B$11), 0)</f>
        <v/>
      </c>
      <c r="H17" s="6">
        <f>IF(7&gt;=$B$7, MIN($B$9*(1+$B$10)^(7-$B$7), $B$11), 0)</f>
        <v/>
      </c>
      <c r="I17" s="6">
        <f>IF(8&gt;=$B$7, MIN($B$9*(1+$B$10)^(8-$B$7), $B$11), 0)</f>
        <v/>
      </c>
      <c r="J17" s="6">
        <f>IF(9&gt;=$B$7, MIN($B$9*(1+$B$10)^(9-$B$7), $B$11), 0)</f>
        <v/>
      </c>
      <c r="K17" s="6">
        <f>IF(10&gt;=$B$7, MIN($B$9*(1+$B$10)^(10-$B$7), $B$11), 0)</f>
        <v/>
      </c>
      <c r="L17" s="6">
        <f>IF(11&gt;=$B$7, MIN($B$9*(1+$B$10)^(11-$B$7), $B$11), 0)</f>
        <v/>
      </c>
      <c r="M17" s="6">
        <f>IF(12&gt;=$B$7, MIN($B$9*(1+$B$10)^(12-$B$7), $B$11), 0)</f>
        <v/>
      </c>
      <c r="N17" s="6">
        <f>IF(13&gt;=$B$7, MIN($B$9*(1+$B$10)^(13-$B$7), $B$11), 0)</f>
        <v/>
      </c>
      <c r="O17" s="6">
        <f>IF(14&gt;=$B$7, MIN($B$9*(1+$B$10)^(14-$B$7), $B$11), 0)</f>
        <v/>
      </c>
      <c r="P17" s="6">
        <f>IF(15&gt;=$B$7, MIN($B$9*(1+$B$10)^(15-$B$7), $B$11), 0)</f>
        <v/>
      </c>
      <c r="Q17" s="6">
        <f>IF(16&gt;=$B$7, MIN($B$9*(1+$B$10)^(16-$B$7), $B$11), 0)</f>
        <v/>
      </c>
      <c r="R17" s="6">
        <f>IF(17&gt;=$B$7, MIN($B$9*(1+$B$10)^(17-$B$7), $B$11), 0)</f>
        <v/>
      </c>
      <c r="S17" s="6">
        <f>IF(18&gt;=$B$7, MIN($B$9*(1+$B$10)^(18-$B$7), $B$11), 0)</f>
        <v/>
      </c>
      <c r="T17" s="6">
        <f>IF(19&gt;=$B$7, MIN($B$9*(1+$B$10)^(19-$B$7), $B$11), 0)</f>
        <v/>
      </c>
      <c r="U17" s="6">
        <f>IF(20&gt;=$B$7, MIN($B$9*(1+$B$10)^(20-$B$7), $B$11), 0)</f>
        <v/>
      </c>
      <c r="V17" s="6">
        <f>IF(21&gt;=$B$7, MIN($B$9*(1+$B$10)^(21-$B$7), $B$11), 0)</f>
        <v/>
      </c>
      <c r="W17" s="6">
        <f>IF(22&gt;=$B$7, MIN($B$9*(1+$B$10)^(22-$B$7), $B$11), 0)</f>
        <v/>
      </c>
      <c r="X17" s="6">
        <f>IF(23&gt;=$B$7, MIN($B$9*(1+$B$10)^(23-$B$7), $B$11), 0)</f>
        <v/>
      </c>
      <c r="Y17" s="6">
        <f>IF(24&gt;=$B$7, MIN($B$9*(1+$B$10)^(24-$B$7), $B$11), 0)</f>
        <v/>
      </c>
      <c r="Z17" s="6">
        <f>IF(25&gt;=$B$7, MIN($B$9*(1+$B$10)^(25-$B$7), $B$11), 0)</f>
        <v/>
      </c>
      <c r="AA17" s="6">
        <f>IF(26&gt;=$B$7, MIN($B$9*(1+$B$10)^(26-$B$7), $B$11), 0)</f>
        <v/>
      </c>
      <c r="AB17" s="6">
        <f>IF(27&gt;=$B$7, MIN($B$9*(1+$B$10)^(27-$B$7), $B$11), 0)</f>
        <v/>
      </c>
      <c r="AC17" s="6">
        <f>IF(28&gt;=$B$7, MIN($B$9*(1+$B$10)^(28-$B$7), $B$11), 0)</f>
        <v/>
      </c>
      <c r="AD17" s="6">
        <f>IF(29&gt;=$B$7, MIN($B$9*(1+$B$10)^(29-$B$7), $B$11), 0)</f>
        <v/>
      </c>
      <c r="AE17" s="6">
        <f>IF(30&gt;=$B$7, MIN($B$9*(1+$B$10)^(30-$B$7), $B$11), 0)</f>
        <v/>
      </c>
      <c r="AF17" s="6">
        <f>IF(31&gt;=$B$7, MIN($B$9*(1+$B$10)^(31-$B$7), $B$11), 0)</f>
        <v/>
      </c>
      <c r="AG17" s="6">
        <f>IF(32&gt;=$B$7, MIN($B$9*(1+$B$10)^(32-$B$7), $B$11), 0)</f>
        <v/>
      </c>
      <c r="AH17" s="6">
        <f>IF(33&gt;=$B$7, MIN($B$9*(1+$B$10)^(33-$B$7), $B$11), 0)</f>
        <v/>
      </c>
      <c r="AI17" s="6">
        <f>IF(34&gt;=$B$7, MIN($B$9*(1+$B$10)^(34-$B$7), $B$11), 0)</f>
        <v/>
      </c>
      <c r="AJ17" s="6">
        <f>IF(35&gt;=$B$7, MIN($B$9*(1+$B$10)^(35-$B$7), $B$11), 0)</f>
        <v/>
      </c>
      <c r="AK17" s="6">
        <f>IF(36&gt;=$B$7, MIN($B$9*(1+$B$10)^(36-$B$7), $B$11), 0)</f>
        <v/>
      </c>
    </row>
    <row r="18">
      <c r="A18" t="inlineStr">
        <is>
          <t xml:space="preserve">  └ 大久保 稼働(時間/日)</t>
        </is>
      </c>
      <c r="B18" s="6">
        <f>IF(1&gt;=$E$7, MIN($B$9*(1+$B$10)^(1-$E$7), $B$11), 0)</f>
        <v/>
      </c>
      <c r="C18" s="6">
        <f>IF(2&gt;=$E$7, MIN($B$9*(1+$B$10)^(2-$E$7), $B$11), 0)</f>
        <v/>
      </c>
      <c r="D18" s="6">
        <f>IF(3&gt;=$E$7, MIN($B$9*(1+$B$10)^(3-$E$7), $B$11), 0)</f>
        <v/>
      </c>
      <c r="E18" s="6">
        <f>IF(4&gt;=$E$7, MIN($B$9*(1+$B$10)^(4-$E$7), $B$11), 0)</f>
        <v/>
      </c>
      <c r="F18" s="6">
        <f>IF(5&gt;=$E$7, MIN($B$9*(1+$B$10)^(5-$E$7), $B$11), 0)</f>
        <v/>
      </c>
      <c r="G18" s="6">
        <f>IF(6&gt;=$E$7, MIN($B$9*(1+$B$10)^(6-$E$7), $B$11), 0)</f>
        <v/>
      </c>
      <c r="H18" s="6">
        <f>IF(7&gt;=$E$7, MIN($B$9*(1+$B$10)^(7-$E$7), $B$11), 0)</f>
        <v/>
      </c>
      <c r="I18" s="6">
        <f>IF(8&gt;=$E$7, MIN($B$9*(1+$B$10)^(8-$E$7), $B$11), 0)</f>
        <v/>
      </c>
      <c r="J18" s="6">
        <f>IF(9&gt;=$E$7, MIN($B$9*(1+$B$10)^(9-$E$7), $B$11), 0)</f>
        <v/>
      </c>
      <c r="K18" s="6">
        <f>IF(10&gt;=$E$7, MIN($B$9*(1+$B$10)^(10-$E$7), $B$11), 0)</f>
        <v/>
      </c>
      <c r="L18" s="6">
        <f>IF(11&gt;=$E$7, MIN($B$9*(1+$B$10)^(11-$E$7), $B$11), 0)</f>
        <v/>
      </c>
      <c r="M18" s="6">
        <f>IF(12&gt;=$E$7, MIN($B$9*(1+$B$10)^(12-$E$7), $B$11), 0)</f>
        <v/>
      </c>
      <c r="N18" s="6">
        <f>IF(13&gt;=$E$7, MIN($B$9*(1+$B$10)^(13-$E$7), $B$11), 0)</f>
        <v/>
      </c>
      <c r="O18" s="6">
        <f>IF(14&gt;=$E$7, MIN($B$9*(1+$B$10)^(14-$E$7), $B$11), 0)</f>
        <v/>
      </c>
      <c r="P18" s="6">
        <f>IF(15&gt;=$E$7, MIN($B$9*(1+$B$10)^(15-$E$7), $B$11), 0)</f>
        <v/>
      </c>
      <c r="Q18" s="6">
        <f>IF(16&gt;=$E$7, MIN($B$9*(1+$B$10)^(16-$E$7), $B$11), 0)</f>
        <v/>
      </c>
      <c r="R18" s="6">
        <f>IF(17&gt;=$E$7, MIN($B$9*(1+$B$10)^(17-$E$7), $B$11), 0)</f>
        <v/>
      </c>
      <c r="S18" s="6">
        <f>IF(18&gt;=$E$7, MIN($B$9*(1+$B$10)^(18-$E$7), $B$11), 0)</f>
        <v/>
      </c>
      <c r="T18" s="6">
        <f>IF(19&gt;=$E$7, MIN($B$9*(1+$B$10)^(19-$E$7), $B$11), 0)</f>
        <v/>
      </c>
      <c r="U18" s="6">
        <f>IF(20&gt;=$E$7, MIN($B$9*(1+$B$10)^(20-$E$7), $B$11), 0)</f>
        <v/>
      </c>
      <c r="V18" s="6">
        <f>IF(21&gt;=$E$7, MIN($B$9*(1+$B$10)^(21-$E$7), $B$11), 0)</f>
        <v/>
      </c>
      <c r="W18" s="6">
        <f>IF(22&gt;=$E$7, MIN($B$9*(1+$B$10)^(22-$E$7), $B$11), 0)</f>
        <v/>
      </c>
      <c r="X18" s="6">
        <f>IF(23&gt;=$E$7, MIN($B$9*(1+$B$10)^(23-$E$7), $B$11), 0)</f>
        <v/>
      </c>
      <c r="Y18" s="6">
        <f>IF(24&gt;=$E$7, MIN($B$9*(1+$B$10)^(24-$E$7), $B$11), 0)</f>
        <v/>
      </c>
      <c r="Z18" s="6">
        <f>IF(25&gt;=$E$7, MIN($B$9*(1+$B$10)^(25-$E$7), $B$11), 0)</f>
        <v/>
      </c>
      <c r="AA18" s="6">
        <f>IF(26&gt;=$E$7, MIN($B$9*(1+$B$10)^(26-$E$7), $B$11), 0)</f>
        <v/>
      </c>
      <c r="AB18" s="6">
        <f>IF(27&gt;=$E$7, MIN($B$9*(1+$B$10)^(27-$E$7), $B$11), 0)</f>
        <v/>
      </c>
      <c r="AC18" s="6">
        <f>IF(28&gt;=$E$7, MIN($B$9*(1+$B$10)^(28-$E$7), $B$11), 0)</f>
        <v/>
      </c>
      <c r="AD18" s="6">
        <f>IF(29&gt;=$E$7, MIN($B$9*(1+$B$10)^(29-$E$7), $B$11), 0)</f>
        <v/>
      </c>
      <c r="AE18" s="6">
        <f>IF(30&gt;=$E$7, MIN($B$9*(1+$B$10)^(30-$E$7), $B$11), 0)</f>
        <v/>
      </c>
      <c r="AF18" s="6">
        <f>IF(31&gt;=$E$7, MIN($B$9*(1+$B$10)^(31-$E$7), $B$11), 0)</f>
        <v/>
      </c>
      <c r="AG18" s="6">
        <f>IF(32&gt;=$E$7, MIN($B$9*(1+$B$10)^(32-$E$7), $B$11), 0)</f>
        <v/>
      </c>
      <c r="AH18" s="6">
        <f>IF(33&gt;=$E$7, MIN($B$9*(1+$B$10)^(33-$E$7), $B$11), 0)</f>
        <v/>
      </c>
      <c r="AI18" s="6">
        <f>IF(34&gt;=$E$7, MIN($B$9*(1+$B$10)^(34-$E$7), $B$11), 0)</f>
        <v/>
      </c>
      <c r="AJ18" s="6">
        <f>IF(35&gt;=$E$7, MIN($B$9*(1+$B$10)^(35-$E$7), $B$11), 0)</f>
        <v/>
      </c>
      <c r="AK18" s="6">
        <f>IF(36&gt;=$E$7, MIN($B$9*(1+$B$10)^(36-$E$7), $B$11), 0)</f>
        <v/>
      </c>
    </row>
    <row r="19">
      <c r="A19" t="inlineStr">
        <is>
          <t xml:space="preserve">  └ 秋葉原 稼働(時間/日)</t>
        </is>
      </c>
      <c r="B19" s="6">
        <f>IF(1&gt;=$H$7, MIN($B$9*(1+$B$10)^(1-$H$7), $B$11), 0)</f>
        <v/>
      </c>
      <c r="C19" s="6">
        <f>IF(2&gt;=$H$7, MIN($B$9*(1+$B$10)^(2-$H$7), $B$11), 0)</f>
        <v/>
      </c>
      <c r="D19" s="6">
        <f>IF(3&gt;=$H$7, MIN($B$9*(1+$B$10)^(3-$H$7), $B$11), 0)</f>
        <v/>
      </c>
      <c r="E19" s="6">
        <f>IF(4&gt;=$H$7, MIN($B$9*(1+$B$10)^(4-$H$7), $B$11), 0)</f>
        <v/>
      </c>
      <c r="F19" s="6">
        <f>IF(5&gt;=$H$7, MIN($B$9*(1+$B$10)^(5-$H$7), $B$11), 0)</f>
        <v/>
      </c>
      <c r="G19" s="6">
        <f>IF(6&gt;=$H$7, MIN($B$9*(1+$B$10)^(6-$H$7), $B$11), 0)</f>
        <v/>
      </c>
      <c r="H19" s="6">
        <f>IF(7&gt;=$H$7, MIN($B$9*(1+$B$10)^(7-$H$7), $B$11), 0)</f>
        <v/>
      </c>
      <c r="I19" s="6">
        <f>IF(8&gt;=$H$7, MIN($B$9*(1+$B$10)^(8-$H$7), $B$11), 0)</f>
        <v/>
      </c>
      <c r="J19" s="6">
        <f>IF(9&gt;=$H$7, MIN($B$9*(1+$B$10)^(9-$H$7), $B$11), 0)</f>
        <v/>
      </c>
      <c r="K19" s="6">
        <f>IF(10&gt;=$H$7, MIN($B$9*(1+$B$10)^(10-$H$7), $B$11), 0)</f>
        <v/>
      </c>
      <c r="L19" s="6">
        <f>IF(11&gt;=$H$7, MIN($B$9*(1+$B$10)^(11-$H$7), $B$11), 0)</f>
        <v/>
      </c>
      <c r="M19" s="6">
        <f>IF(12&gt;=$H$7, MIN($B$9*(1+$B$10)^(12-$H$7), $B$11), 0)</f>
        <v/>
      </c>
      <c r="N19" s="6">
        <f>IF(13&gt;=$H$7, MIN($B$9*(1+$B$10)^(13-$H$7), $B$11), 0)</f>
        <v/>
      </c>
      <c r="O19" s="6">
        <f>IF(14&gt;=$H$7, MIN($B$9*(1+$B$10)^(14-$H$7), $B$11), 0)</f>
        <v/>
      </c>
      <c r="P19" s="6">
        <f>IF(15&gt;=$H$7, MIN($B$9*(1+$B$10)^(15-$H$7), $B$11), 0)</f>
        <v/>
      </c>
      <c r="Q19" s="6">
        <f>IF(16&gt;=$H$7, MIN($B$9*(1+$B$10)^(16-$H$7), $B$11), 0)</f>
        <v/>
      </c>
      <c r="R19" s="6">
        <f>IF(17&gt;=$H$7, MIN($B$9*(1+$B$10)^(17-$H$7), $B$11), 0)</f>
        <v/>
      </c>
      <c r="S19" s="6">
        <f>IF(18&gt;=$H$7, MIN($B$9*(1+$B$10)^(18-$H$7), $B$11), 0)</f>
        <v/>
      </c>
      <c r="T19" s="6">
        <f>IF(19&gt;=$H$7, MIN($B$9*(1+$B$10)^(19-$H$7), $B$11), 0)</f>
        <v/>
      </c>
      <c r="U19" s="6">
        <f>IF(20&gt;=$H$7, MIN($B$9*(1+$B$10)^(20-$H$7), $B$11), 0)</f>
        <v/>
      </c>
      <c r="V19" s="6">
        <f>IF(21&gt;=$H$7, MIN($B$9*(1+$B$10)^(21-$H$7), $B$11), 0)</f>
        <v/>
      </c>
      <c r="W19" s="6">
        <f>IF(22&gt;=$H$7, MIN($B$9*(1+$B$10)^(22-$H$7), $B$11), 0)</f>
        <v/>
      </c>
      <c r="X19" s="6">
        <f>IF(23&gt;=$H$7, MIN($B$9*(1+$B$10)^(23-$H$7), $B$11), 0)</f>
        <v/>
      </c>
      <c r="Y19" s="6">
        <f>IF(24&gt;=$H$7, MIN($B$9*(1+$B$10)^(24-$H$7), $B$11), 0)</f>
        <v/>
      </c>
      <c r="Z19" s="6">
        <f>IF(25&gt;=$H$7, MIN($B$9*(1+$B$10)^(25-$H$7), $B$11), 0)</f>
        <v/>
      </c>
      <c r="AA19" s="6">
        <f>IF(26&gt;=$H$7, MIN($B$9*(1+$B$10)^(26-$H$7), $B$11), 0)</f>
        <v/>
      </c>
      <c r="AB19" s="6">
        <f>IF(27&gt;=$H$7, MIN($B$9*(1+$B$10)^(27-$H$7), $B$11), 0)</f>
        <v/>
      </c>
      <c r="AC19" s="6">
        <f>IF(28&gt;=$H$7, MIN($B$9*(1+$B$10)^(28-$H$7), $B$11), 0)</f>
        <v/>
      </c>
      <c r="AD19" s="6">
        <f>IF(29&gt;=$H$7, MIN($B$9*(1+$B$10)^(29-$H$7), $B$11), 0)</f>
        <v/>
      </c>
      <c r="AE19" s="6">
        <f>IF(30&gt;=$H$7, MIN($B$9*(1+$B$10)^(30-$H$7), $B$11), 0)</f>
        <v/>
      </c>
      <c r="AF19" s="6">
        <f>IF(31&gt;=$H$7, MIN($B$9*(1+$B$10)^(31-$H$7), $B$11), 0)</f>
        <v/>
      </c>
      <c r="AG19" s="6">
        <f>IF(32&gt;=$H$7, MIN($B$9*(1+$B$10)^(32-$H$7), $B$11), 0)</f>
        <v/>
      </c>
      <c r="AH19" s="6">
        <f>IF(33&gt;=$H$7, MIN($B$9*(1+$B$10)^(33-$H$7), $B$11), 0)</f>
        <v/>
      </c>
      <c r="AI19" s="6">
        <f>IF(34&gt;=$H$7, MIN($B$9*(1+$B$10)^(34-$H$7), $B$11), 0)</f>
        <v/>
      </c>
      <c r="AJ19" s="6">
        <f>IF(35&gt;=$H$7, MIN($B$9*(1+$B$10)^(35-$H$7), $B$11), 0)</f>
        <v/>
      </c>
      <c r="AK19" s="6">
        <f>IF(36&gt;=$H$7, MIN($B$9*(1+$B$10)^(36-$H$7), $B$11), 0)</f>
        <v/>
      </c>
    </row>
    <row r="20">
      <c r="A20" s="4" t="inlineStr">
        <is>
          <t>【売上高】</t>
        </is>
      </c>
    </row>
    <row r="21">
      <c r="A21" t="inlineStr">
        <is>
          <t xml:space="preserve">  └ 池袋 売上高</t>
        </is>
      </c>
      <c r="B21" s="2">
        <f>B17 * $B$6 * 30</f>
        <v/>
      </c>
      <c r="C21" s="2">
        <f>C17 * $B$6 * 30</f>
        <v/>
      </c>
      <c r="D21" s="2">
        <f>D17 * $B$6 * 30</f>
        <v/>
      </c>
      <c r="E21" s="2">
        <f>E17 * $B$6 * 30</f>
        <v/>
      </c>
      <c r="F21" s="2">
        <f>F17 * $B$6 * 30</f>
        <v/>
      </c>
      <c r="G21" s="2">
        <f>G17 * $B$6 * 30</f>
        <v/>
      </c>
      <c r="H21" s="2">
        <f>H17 * $B$6 * 30</f>
        <v/>
      </c>
      <c r="I21" s="2">
        <f>I17 * $B$6 * 30</f>
        <v/>
      </c>
      <c r="J21" s="2">
        <f>J17 * $B$6 * 30</f>
        <v/>
      </c>
      <c r="K21" s="2">
        <f>K17 * $B$6 * 30</f>
        <v/>
      </c>
      <c r="L21" s="2">
        <f>L17 * $B$6 * 30</f>
        <v/>
      </c>
      <c r="M21" s="2">
        <f>M17 * $B$6 * 30</f>
        <v/>
      </c>
      <c r="N21" s="2">
        <f>N17 * $B$6 * 30</f>
        <v/>
      </c>
      <c r="O21" s="2">
        <f>O17 * $B$6 * 30</f>
        <v/>
      </c>
      <c r="P21" s="2">
        <f>P17 * $B$6 * 30</f>
        <v/>
      </c>
      <c r="Q21" s="2">
        <f>Q17 * $B$6 * 30</f>
        <v/>
      </c>
      <c r="R21" s="2">
        <f>R17 * $B$6 * 30</f>
        <v/>
      </c>
      <c r="S21" s="2">
        <f>S17 * $B$6 * 30</f>
        <v/>
      </c>
      <c r="T21" s="2">
        <f>T17 * $B$6 * 30</f>
        <v/>
      </c>
      <c r="U21" s="2">
        <f>U17 * $B$6 * 30</f>
        <v/>
      </c>
      <c r="V21" s="2">
        <f>V17 * $B$6 * 30</f>
        <v/>
      </c>
      <c r="W21" s="2">
        <f>W17 * $B$6 * 30</f>
        <v/>
      </c>
      <c r="X21" s="2">
        <f>X17 * $B$6 * 30</f>
        <v/>
      </c>
      <c r="Y21" s="2">
        <f>Y17 * $B$6 * 30</f>
        <v/>
      </c>
      <c r="Z21" s="2">
        <f>Z17 * $B$6 * 30</f>
        <v/>
      </c>
      <c r="AA21" s="2">
        <f>AA17 * $B$6 * 30</f>
        <v/>
      </c>
      <c r="AB21" s="2">
        <f>AB17 * $B$6 * 30</f>
        <v/>
      </c>
      <c r="AC21" s="2">
        <f>AC17 * $B$6 * 30</f>
        <v/>
      </c>
      <c r="AD21" s="2">
        <f>AD17 * $B$6 * 30</f>
        <v/>
      </c>
      <c r="AE21" s="2">
        <f>AE17 * $B$6 * 30</f>
        <v/>
      </c>
      <c r="AF21" s="2">
        <f>AF17 * $B$6 * 30</f>
        <v/>
      </c>
      <c r="AG21" s="2">
        <f>AG17 * $B$6 * 30</f>
        <v/>
      </c>
      <c r="AH21" s="2">
        <f>AH17 * $B$6 * 30</f>
        <v/>
      </c>
      <c r="AI21" s="2">
        <f>AI17 * $B$6 * 30</f>
        <v/>
      </c>
      <c r="AJ21" s="2">
        <f>AJ17 * $B$6 * 30</f>
        <v/>
      </c>
      <c r="AK21" s="2">
        <f>AK17 * $B$6 * 30</f>
        <v/>
      </c>
    </row>
    <row r="22">
      <c r="A22" t="inlineStr">
        <is>
          <t xml:space="preserve">  └ 大久保 売上高</t>
        </is>
      </c>
      <c r="B22" s="2">
        <f>B18 * $E$6 * 30</f>
        <v/>
      </c>
      <c r="C22" s="2">
        <f>C18 * $E$6 * 30</f>
        <v/>
      </c>
      <c r="D22" s="2">
        <f>D18 * $E$6 * 30</f>
        <v/>
      </c>
      <c r="E22" s="2">
        <f>E18 * $E$6 * 30</f>
        <v/>
      </c>
      <c r="F22" s="2">
        <f>F18 * $E$6 * 30</f>
        <v/>
      </c>
      <c r="G22" s="2">
        <f>G18 * $E$6 * 30</f>
        <v/>
      </c>
      <c r="H22" s="2">
        <f>H18 * $E$6 * 30</f>
        <v/>
      </c>
      <c r="I22" s="2">
        <f>I18 * $E$6 * 30</f>
        <v/>
      </c>
      <c r="J22" s="2">
        <f>J18 * $E$6 * 30</f>
        <v/>
      </c>
      <c r="K22" s="2">
        <f>K18 * $E$6 * 30</f>
        <v/>
      </c>
      <c r="L22" s="2">
        <f>L18 * $E$6 * 30</f>
        <v/>
      </c>
      <c r="M22" s="2">
        <f>M18 * $E$6 * 30</f>
        <v/>
      </c>
      <c r="N22" s="2">
        <f>N18 * $E$6 * 30</f>
        <v/>
      </c>
      <c r="O22" s="2">
        <f>O18 * $E$6 * 30</f>
        <v/>
      </c>
      <c r="P22" s="2">
        <f>P18 * $E$6 * 30</f>
        <v/>
      </c>
      <c r="Q22" s="2">
        <f>Q18 * $E$6 * 30</f>
        <v/>
      </c>
      <c r="R22" s="2">
        <f>R18 * $E$6 * 30</f>
        <v/>
      </c>
      <c r="S22" s="2">
        <f>S18 * $E$6 * 30</f>
        <v/>
      </c>
      <c r="T22" s="2">
        <f>T18 * $E$6 * 30</f>
        <v/>
      </c>
      <c r="U22" s="2">
        <f>U18 * $E$6 * 30</f>
        <v/>
      </c>
      <c r="V22" s="2">
        <f>V18 * $E$6 * 30</f>
        <v/>
      </c>
      <c r="W22" s="2">
        <f>W18 * $E$6 * 30</f>
        <v/>
      </c>
      <c r="X22" s="2">
        <f>X18 * $E$6 * 30</f>
        <v/>
      </c>
      <c r="Y22" s="2">
        <f>Y18 * $E$6 * 30</f>
        <v/>
      </c>
      <c r="Z22" s="2">
        <f>Z18 * $E$6 * 30</f>
        <v/>
      </c>
      <c r="AA22" s="2">
        <f>AA18 * $E$6 * 30</f>
        <v/>
      </c>
      <c r="AB22" s="2">
        <f>AB18 * $E$6 * 30</f>
        <v/>
      </c>
      <c r="AC22" s="2">
        <f>AC18 * $E$6 * 30</f>
        <v/>
      </c>
      <c r="AD22" s="2">
        <f>AD18 * $E$6 * 30</f>
        <v/>
      </c>
      <c r="AE22" s="2">
        <f>AE18 * $E$6 * 30</f>
        <v/>
      </c>
      <c r="AF22" s="2">
        <f>AF18 * $E$6 * 30</f>
        <v/>
      </c>
      <c r="AG22" s="2">
        <f>AG18 * $E$6 * 30</f>
        <v/>
      </c>
      <c r="AH22" s="2">
        <f>AH18 * $E$6 * 30</f>
        <v/>
      </c>
      <c r="AI22" s="2">
        <f>AI18 * $E$6 * 30</f>
        <v/>
      </c>
      <c r="AJ22" s="2">
        <f>AJ18 * $E$6 * 30</f>
        <v/>
      </c>
      <c r="AK22" s="2">
        <f>AK18 * $E$6 * 30</f>
        <v/>
      </c>
    </row>
    <row r="23">
      <c r="A23" t="inlineStr">
        <is>
          <t xml:space="preserve">  └ 秋葉原 売上高</t>
        </is>
      </c>
      <c r="B23" s="2">
        <f>B19 * $H$6 * 30</f>
        <v/>
      </c>
      <c r="C23" s="2">
        <f>C19 * $H$6 * 30</f>
        <v/>
      </c>
      <c r="D23" s="2">
        <f>D19 * $H$6 * 30</f>
        <v/>
      </c>
      <c r="E23" s="2">
        <f>E19 * $H$6 * 30</f>
        <v/>
      </c>
      <c r="F23" s="2">
        <f>F19 * $H$6 * 30</f>
        <v/>
      </c>
      <c r="G23" s="2">
        <f>G19 * $H$6 * 30</f>
        <v/>
      </c>
      <c r="H23" s="2">
        <f>H19 * $H$6 * 30</f>
        <v/>
      </c>
      <c r="I23" s="2">
        <f>I19 * $H$6 * 30</f>
        <v/>
      </c>
      <c r="J23" s="2">
        <f>J19 * $H$6 * 30</f>
        <v/>
      </c>
      <c r="K23" s="2">
        <f>K19 * $H$6 * 30</f>
        <v/>
      </c>
      <c r="L23" s="2">
        <f>L19 * $H$6 * 30</f>
        <v/>
      </c>
      <c r="M23" s="2">
        <f>M19 * $H$6 * 30</f>
        <v/>
      </c>
      <c r="N23" s="2">
        <f>N19 * $H$6 * 30</f>
        <v/>
      </c>
      <c r="O23" s="2">
        <f>O19 * $H$6 * 30</f>
        <v/>
      </c>
      <c r="P23" s="2">
        <f>P19 * $H$6 * 30</f>
        <v/>
      </c>
      <c r="Q23" s="2">
        <f>Q19 * $H$6 * 30</f>
        <v/>
      </c>
      <c r="R23" s="2">
        <f>R19 * $H$6 * 30</f>
        <v/>
      </c>
      <c r="S23" s="2">
        <f>S19 * $H$6 * 30</f>
        <v/>
      </c>
      <c r="T23" s="2">
        <f>T19 * $H$6 * 30</f>
        <v/>
      </c>
      <c r="U23" s="2">
        <f>U19 * $H$6 * 30</f>
        <v/>
      </c>
      <c r="V23" s="2">
        <f>V19 * $H$6 * 30</f>
        <v/>
      </c>
      <c r="W23" s="2">
        <f>W19 * $H$6 * 30</f>
        <v/>
      </c>
      <c r="X23" s="2">
        <f>X19 * $H$6 * 30</f>
        <v/>
      </c>
      <c r="Y23" s="2">
        <f>Y19 * $H$6 * 30</f>
        <v/>
      </c>
      <c r="Z23" s="2">
        <f>Z19 * $H$6 * 30</f>
        <v/>
      </c>
      <c r="AA23" s="2">
        <f>AA19 * $H$6 * 30</f>
        <v/>
      </c>
      <c r="AB23" s="2">
        <f>AB19 * $H$6 * 30</f>
        <v/>
      </c>
      <c r="AC23" s="2">
        <f>AC19 * $H$6 * 30</f>
        <v/>
      </c>
      <c r="AD23" s="2">
        <f>AD19 * $H$6 * 30</f>
        <v/>
      </c>
      <c r="AE23" s="2">
        <f>AE19 * $H$6 * 30</f>
        <v/>
      </c>
      <c r="AF23" s="2">
        <f>AF19 * $H$6 * 30</f>
        <v/>
      </c>
      <c r="AG23" s="2">
        <f>AG19 * $H$6 * 30</f>
        <v/>
      </c>
      <c r="AH23" s="2">
        <f>AH19 * $H$6 * 30</f>
        <v/>
      </c>
      <c r="AI23" s="2">
        <f>AI19 * $H$6 * 30</f>
        <v/>
      </c>
      <c r="AJ23" s="2">
        <f>AJ19 * $H$6 * 30</f>
        <v/>
      </c>
      <c r="AK23" s="2">
        <f>AK19 * $H$6 * 30</f>
        <v/>
      </c>
    </row>
    <row r="24">
      <c r="A24" s="4" t="inlineStr">
        <is>
          <t>売上高 合計</t>
        </is>
      </c>
      <c r="B24" s="7">
        <f>SUM(B21:B23)</f>
        <v/>
      </c>
      <c r="C24" s="7">
        <f>SUM(C21:C23)</f>
        <v/>
      </c>
      <c r="D24" s="7">
        <f>SUM(D21:D23)</f>
        <v/>
      </c>
      <c r="E24" s="7">
        <f>SUM(E21:E23)</f>
        <v/>
      </c>
      <c r="F24" s="7">
        <f>SUM(F21:F23)</f>
        <v/>
      </c>
      <c r="G24" s="7">
        <f>SUM(G21:G23)</f>
        <v/>
      </c>
      <c r="H24" s="7">
        <f>SUM(H21:H23)</f>
        <v/>
      </c>
      <c r="I24" s="7">
        <f>SUM(I21:I23)</f>
        <v/>
      </c>
      <c r="J24" s="7">
        <f>SUM(J21:J23)</f>
        <v/>
      </c>
      <c r="K24" s="7">
        <f>SUM(K21:K23)</f>
        <v/>
      </c>
      <c r="L24" s="7">
        <f>SUM(L21:L23)</f>
        <v/>
      </c>
      <c r="M24" s="7">
        <f>SUM(M21:M23)</f>
        <v/>
      </c>
      <c r="N24" s="7">
        <f>SUM(N21:N23)</f>
        <v/>
      </c>
      <c r="O24" s="7">
        <f>SUM(O21:O23)</f>
        <v/>
      </c>
      <c r="P24" s="7">
        <f>SUM(P21:P23)</f>
        <v/>
      </c>
      <c r="Q24" s="7">
        <f>SUM(Q21:Q23)</f>
        <v/>
      </c>
      <c r="R24" s="7">
        <f>SUM(R21:R23)</f>
        <v/>
      </c>
      <c r="S24" s="7">
        <f>SUM(S21:S23)</f>
        <v/>
      </c>
      <c r="T24" s="7">
        <f>SUM(T21:T23)</f>
        <v/>
      </c>
      <c r="U24" s="7">
        <f>SUM(U21:U23)</f>
        <v/>
      </c>
      <c r="V24" s="7">
        <f>SUM(V21:V23)</f>
        <v/>
      </c>
      <c r="W24" s="7">
        <f>SUM(W21:W23)</f>
        <v/>
      </c>
      <c r="X24" s="7">
        <f>SUM(X21:X23)</f>
        <v/>
      </c>
      <c r="Y24" s="7">
        <f>SUM(Y21:Y23)</f>
        <v/>
      </c>
      <c r="Z24" s="7">
        <f>SUM(Z21:Z23)</f>
        <v/>
      </c>
      <c r="AA24" s="7">
        <f>SUM(AA21:AA23)</f>
        <v/>
      </c>
      <c r="AB24" s="7">
        <f>SUM(AB21:AB23)</f>
        <v/>
      </c>
      <c r="AC24" s="7">
        <f>SUM(AC21:AC23)</f>
        <v/>
      </c>
      <c r="AD24" s="7">
        <f>SUM(AD21:AD23)</f>
        <v/>
      </c>
      <c r="AE24" s="7">
        <f>SUM(AE21:AE23)</f>
        <v/>
      </c>
      <c r="AF24" s="7">
        <f>SUM(AF21:AF23)</f>
        <v/>
      </c>
      <c r="AG24" s="7">
        <f>SUM(AG21:AG23)</f>
        <v/>
      </c>
      <c r="AH24" s="7">
        <f>SUM(AH21:AH23)</f>
        <v/>
      </c>
      <c r="AI24" s="7">
        <f>SUM(AI21:AI23)</f>
        <v/>
      </c>
      <c r="AJ24" s="7">
        <f>SUM(AJ21:AJ23)</f>
        <v/>
      </c>
      <c r="AK24" s="7">
        <f>SUM(AK21:AK23)</f>
        <v/>
      </c>
    </row>
    <row r="25">
      <c r="A25" s="4" t="inlineStr">
        <is>
          <t>【売上原価（変動費）】</t>
        </is>
      </c>
    </row>
    <row r="26">
      <c r="A26" t="inlineStr">
        <is>
          <t xml:space="preserve">  └ PF手数料(20%)</t>
        </is>
      </c>
      <c r="B26" s="2">
        <f>B24 * $B$12</f>
        <v/>
      </c>
      <c r="C26" s="2">
        <f>C24 * $B$12</f>
        <v/>
      </c>
      <c r="D26" s="2">
        <f>D24 * $B$12</f>
        <v/>
      </c>
      <c r="E26" s="2">
        <f>E24 * $B$12</f>
        <v/>
      </c>
      <c r="F26" s="2">
        <f>F24 * $B$12</f>
        <v/>
      </c>
      <c r="G26" s="2">
        <f>G24 * $B$12</f>
        <v/>
      </c>
      <c r="H26" s="2">
        <f>H24 * $B$12</f>
        <v/>
      </c>
      <c r="I26" s="2">
        <f>I24 * $B$12</f>
        <v/>
      </c>
      <c r="J26" s="2">
        <f>J24 * $B$12</f>
        <v/>
      </c>
      <c r="K26" s="2">
        <f>K24 * $B$12</f>
        <v/>
      </c>
      <c r="L26" s="2">
        <f>L24 * $B$12</f>
        <v/>
      </c>
      <c r="M26" s="2">
        <f>M24 * $B$12</f>
        <v/>
      </c>
      <c r="N26" s="2">
        <f>N24 * $B$12</f>
        <v/>
      </c>
      <c r="O26" s="2">
        <f>O24 * $B$12</f>
        <v/>
      </c>
      <c r="P26" s="2">
        <f>P24 * $B$12</f>
        <v/>
      </c>
      <c r="Q26" s="2">
        <f>Q24 * $B$12</f>
        <v/>
      </c>
      <c r="R26" s="2">
        <f>R24 * $B$12</f>
        <v/>
      </c>
      <c r="S26" s="2">
        <f>S24 * $B$12</f>
        <v/>
      </c>
      <c r="T26" s="2">
        <f>T24 * $B$12</f>
        <v/>
      </c>
      <c r="U26" s="2">
        <f>U24 * $B$12</f>
        <v/>
      </c>
      <c r="V26" s="2">
        <f>V24 * $B$12</f>
        <v/>
      </c>
      <c r="W26" s="2">
        <f>W24 * $B$12</f>
        <v/>
      </c>
      <c r="X26" s="2">
        <f>X24 * $B$12</f>
        <v/>
      </c>
      <c r="Y26" s="2">
        <f>Y24 * $B$12</f>
        <v/>
      </c>
      <c r="Z26" s="2">
        <f>Z24 * $B$12</f>
        <v/>
      </c>
      <c r="AA26" s="2">
        <f>AA24 * $B$12</f>
        <v/>
      </c>
      <c r="AB26" s="2">
        <f>AB24 * $B$12</f>
        <v/>
      </c>
      <c r="AC26" s="2">
        <f>AC24 * $B$12</f>
        <v/>
      </c>
      <c r="AD26" s="2">
        <f>AD24 * $B$12</f>
        <v/>
      </c>
      <c r="AE26" s="2">
        <f>AE24 * $B$12</f>
        <v/>
      </c>
      <c r="AF26" s="2">
        <f>AF24 * $B$12</f>
        <v/>
      </c>
      <c r="AG26" s="2">
        <f>AG24 * $B$12</f>
        <v/>
      </c>
      <c r="AH26" s="2">
        <f>AH24 * $B$12</f>
        <v/>
      </c>
      <c r="AI26" s="2">
        <f>AI24 * $B$12</f>
        <v/>
      </c>
      <c r="AJ26" s="2">
        <f>AJ24 * $B$12</f>
        <v/>
      </c>
      <c r="AK26" s="2">
        <f>AK24 * $B$12</f>
        <v/>
      </c>
    </row>
    <row r="27">
      <c r="A27" s="4" t="inlineStr">
        <is>
          <t>売上総利益 (粗利)</t>
        </is>
      </c>
      <c r="B27" s="7">
        <f>B24 - B26</f>
        <v/>
      </c>
      <c r="C27" s="7">
        <f>C24 - C26</f>
        <v/>
      </c>
      <c r="D27" s="7">
        <f>D24 - D26</f>
        <v/>
      </c>
      <c r="E27" s="7">
        <f>E24 - E26</f>
        <v/>
      </c>
      <c r="F27" s="7">
        <f>F24 - F26</f>
        <v/>
      </c>
      <c r="G27" s="7">
        <f>G24 - G26</f>
        <v/>
      </c>
      <c r="H27" s="7">
        <f>H24 - H26</f>
        <v/>
      </c>
      <c r="I27" s="7">
        <f>I24 - I26</f>
        <v/>
      </c>
      <c r="J27" s="7">
        <f>J24 - J26</f>
        <v/>
      </c>
      <c r="K27" s="7">
        <f>K24 - K26</f>
        <v/>
      </c>
      <c r="L27" s="7">
        <f>L24 - L26</f>
        <v/>
      </c>
      <c r="M27" s="7">
        <f>M24 - M26</f>
        <v/>
      </c>
      <c r="N27" s="7">
        <f>N24 - N26</f>
        <v/>
      </c>
      <c r="O27" s="7">
        <f>O24 - O26</f>
        <v/>
      </c>
      <c r="P27" s="7">
        <f>P24 - P26</f>
        <v/>
      </c>
      <c r="Q27" s="7">
        <f>Q24 - Q26</f>
        <v/>
      </c>
      <c r="R27" s="7">
        <f>R24 - R26</f>
        <v/>
      </c>
      <c r="S27" s="7">
        <f>S24 - S26</f>
        <v/>
      </c>
      <c r="T27" s="7">
        <f>T24 - T26</f>
        <v/>
      </c>
      <c r="U27" s="7">
        <f>U24 - U26</f>
        <v/>
      </c>
      <c r="V27" s="7">
        <f>V24 - V26</f>
        <v/>
      </c>
      <c r="W27" s="7">
        <f>W24 - W26</f>
        <v/>
      </c>
      <c r="X27" s="7">
        <f>X24 - X26</f>
        <v/>
      </c>
      <c r="Y27" s="7">
        <f>Y24 - Y26</f>
        <v/>
      </c>
      <c r="Z27" s="7">
        <f>Z24 - Z26</f>
        <v/>
      </c>
      <c r="AA27" s="7">
        <f>AA24 - AA26</f>
        <v/>
      </c>
      <c r="AB27" s="7">
        <f>AB24 - AB26</f>
        <v/>
      </c>
      <c r="AC27" s="7">
        <f>AC24 - AC26</f>
        <v/>
      </c>
      <c r="AD27" s="7">
        <f>AD24 - AD26</f>
        <v/>
      </c>
      <c r="AE27" s="7">
        <f>AE24 - AE26</f>
        <v/>
      </c>
      <c r="AF27" s="7">
        <f>AF24 - AF26</f>
        <v/>
      </c>
      <c r="AG27" s="7">
        <f>AG24 - AG26</f>
        <v/>
      </c>
      <c r="AH27" s="7">
        <f>AH24 - AH26</f>
        <v/>
      </c>
      <c r="AI27" s="7">
        <f>AI24 - AI26</f>
        <v/>
      </c>
      <c r="AJ27" s="7">
        <f>AJ24 - AJ26</f>
        <v/>
      </c>
      <c r="AK27" s="7">
        <f>AK24 - AK26</f>
        <v/>
      </c>
    </row>
    <row r="28">
      <c r="A28" s="4" t="inlineStr">
        <is>
          <t>【販売費及び一般管理費】</t>
        </is>
      </c>
    </row>
    <row r="29">
      <c r="A29" t="inlineStr">
        <is>
          <t xml:space="preserve">  └ 地代家賃合計</t>
        </is>
      </c>
      <c r="B29" s="2">
        <f>IF(1&gt;=$B$7, $B$5, 0) + IF(1&gt;=$E$7, $E$5, 0) + IF(1&gt;=$H$7, $H$5, 0)</f>
        <v/>
      </c>
      <c r="C29" s="2">
        <f>IF(2&gt;=$B$7, $B$5, 0) + IF(2&gt;=$E$7, $E$5, 0) + IF(2&gt;=$H$7, $H$5, 0)</f>
        <v/>
      </c>
      <c r="D29" s="2">
        <f>IF(3&gt;=$B$7, $B$5, 0) + IF(3&gt;=$E$7, $E$5, 0) + IF(3&gt;=$H$7, $H$5, 0)</f>
        <v/>
      </c>
      <c r="E29" s="2">
        <f>IF(4&gt;=$B$7, $B$5, 0) + IF(4&gt;=$E$7, $E$5, 0) + IF(4&gt;=$H$7, $H$5, 0)</f>
        <v/>
      </c>
      <c r="F29" s="2">
        <f>IF(5&gt;=$B$7, $B$5, 0) + IF(5&gt;=$E$7, $E$5, 0) + IF(5&gt;=$H$7, $H$5, 0)</f>
        <v/>
      </c>
      <c r="G29" s="2">
        <f>IF(6&gt;=$B$7, $B$5, 0) + IF(6&gt;=$E$7, $E$5, 0) + IF(6&gt;=$H$7, $H$5, 0)</f>
        <v/>
      </c>
      <c r="H29" s="2">
        <f>IF(7&gt;=$B$7, $B$5, 0) + IF(7&gt;=$E$7, $E$5, 0) + IF(7&gt;=$H$7, $H$5, 0)</f>
        <v/>
      </c>
      <c r="I29" s="2">
        <f>IF(8&gt;=$B$7, $B$5, 0) + IF(8&gt;=$E$7, $E$5, 0) + IF(8&gt;=$H$7, $H$5, 0)</f>
        <v/>
      </c>
      <c r="J29" s="2">
        <f>IF(9&gt;=$B$7, $B$5, 0) + IF(9&gt;=$E$7, $E$5, 0) + IF(9&gt;=$H$7, $H$5, 0)</f>
        <v/>
      </c>
      <c r="K29" s="2">
        <f>IF(10&gt;=$B$7, $B$5, 0) + IF(10&gt;=$E$7, $E$5, 0) + IF(10&gt;=$H$7, $H$5, 0)</f>
        <v/>
      </c>
      <c r="L29" s="2">
        <f>IF(11&gt;=$B$7, $B$5, 0) + IF(11&gt;=$E$7, $E$5, 0) + IF(11&gt;=$H$7, $H$5, 0)</f>
        <v/>
      </c>
      <c r="M29" s="2">
        <f>IF(12&gt;=$B$7, $B$5, 0) + IF(12&gt;=$E$7, $E$5, 0) + IF(12&gt;=$H$7, $H$5, 0)</f>
        <v/>
      </c>
      <c r="N29" s="2">
        <f>IF(13&gt;=$B$7, $B$5, 0) + IF(13&gt;=$E$7, $E$5, 0) + IF(13&gt;=$H$7, $H$5, 0)</f>
        <v/>
      </c>
      <c r="O29" s="2">
        <f>IF(14&gt;=$B$7, $B$5, 0) + IF(14&gt;=$E$7, $E$5, 0) + IF(14&gt;=$H$7, $H$5, 0)</f>
        <v/>
      </c>
      <c r="P29" s="2">
        <f>IF(15&gt;=$B$7, $B$5, 0) + IF(15&gt;=$E$7, $E$5, 0) + IF(15&gt;=$H$7, $H$5, 0)</f>
        <v/>
      </c>
      <c r="Q29" s="2">
        <f>IF(16&gt;=$B$7, $B$5, 0) + IF(16&gt;=$E$7, $E$5, 0) + IF(16&gt;=$H$7, $H$5, 0)</f>
        <v/>
      </c>
      <c r="R29" s="2">
        <f>IF(17&gt;=$B$7, $B$5, 0) + IF(17&gt;=$E$7, $E$5, 0) + IF(17&gt;=$H$7, $H$5, 0)</f>
        <v/>
      </c>
      <c r="S29" s="2">
        <f>IF(18&gt;=$B$7, $B$5, 0) + IF(18&gt;=$E$7, $E$5, 0) + IF(18&gt;=$H$7, $H$5, 0)</f>
        <v/>
      </c>
      <c r="T29" s="2">
        <f>IF(19&gt;=$B$7, $B$5, 0) + IF(19&gt;=$E$7, $E$5, 0) + IF(19&gt;=$H$7, $H$5, 0)</f>
        <v/>
      </c>
      <c r="U29" s="2">
        <f>IF(20&gt;=$B$7, $B$5, 0) + IF(20&gt;=$E$7, $E$5, 0) + IF(20&gt;=$H$7, $H$5, 0)</f>
        <v/>
      </c>
      <c r="V29" s="2">
        <f>IF(21&gt;=$B$7, $B$5, 0) + IF(21&gt;=$E$7, $E$5, 0) + IF(21&gt;=$H$7, $H$5, 0)</f>
        <v/>
      </c>
      <c r="W29" s="2">
        <f>IF(22&gt;=$B$7, $B$5, 0) + IF(22&gt;=$E$7, $E$5, 0) + IF(22&gt;=$H$7, $H$5, 0)</f>
        <v/>
      </c>
      <c r="X29" s="2">
        <f>IF(23&gt;=$B$7, $B$5, 0) + IF(23&gt;=$E$7, $E$5, 0) + IF(23&gt;=$H$7, $H$5, 0)</f>
        <v/>
      </c>
      <c r="Y29" s="2">
        <f>IF(24&gt;=$B$7, $B$5, 0) + IF(24&gt;=$E$7, $E$5, 0) + IF(24&gt;=$H$7, $H$5, 0)</f>
        <v/>
      </c>
      <c r="Z29" s="2">
        <f>IF(25&gt;=$B$7, $B$5, 0) + IF(25&gt;=$E$7, $E$5, 0) + IF(25&gt;=$H$7, $H$5, 0)</f>
        <v/>
      </c>
      <c r="AA29" s="2">
        <f>IF(26&gt;=$B$7, $B$5, 0) + IF(26&gt;=$E$7, $E$5, 0) + IF(26&gt;=$H$7, $H$5, 0)</f>
        <v/>
      </c>
      <c r="AB29" s="2">
        <f>IF(27&gt;=$B$7, $B$5, 0) + IF(27&gt;=$E$7, $E$5, 0) + IF(27&gt;=$H$7, $H$5, 0)</f>
        <v/>
      </c>
      <c r="AC29" s="2">
        <f>IF(28&gt;=$B$7, $B$5, 0) + IF(28&gt;=$E$7, $E$5, 0) + IF(28&gt;=$H$7, $H$5, 0)</f>
        <v/>
      </c>
      <c r="AD29" s="2">
        <f>IF(29&gt;=$B$7, $B$5, 0) + IF(29&gt;=$E$7, $E$5, 0) + IF(29&gt;=$H$7, $H$5, 0)</f>
        <v/>
      </c>
      <c r="AE29" s="2">
        <f>IF(30&gt;=$B$7, $B$5, 0) + IF(30&gt;=$E$7, $E$5, 0) + IF(30&gt;=$H$7, $H$5, 0)</f>
        <v/>
      </c>
      <c r="AF29" s="2">
        <f>IF(31&gt;=$B$7, $B$5, 0) + IF(31&gt;=$E$7, $E$5, 0) + IF(31&gt;=$H$7, $H$5, 0)</f>
        <v/>
      </c>
      <c r="AG29" s="2">
        <f>IF(32&gt;=$B$7, $B$5, 0) + IF(32&gt;=$E$7, $E$5, 0) + IF(32&gt;=$H$7, $H$5, 0)</f>
        <v/>
      </c>
      <c r="AH29" s="2">
        <f>IF(33&gt;=$B$7, $B$5, 0) + IF(33&gt;=$E$7, $E$5, 0) + IF(33&gt;=$H$7, $H$5, 0)</f>
        <v/>
      </c>
      <c r="AI29" s="2">
        <f>IF(34&gt;=$B$7, $B$5, 0) + IF(34&gt;=$E$7, $E$5, 0) + IF(34&gt;=$H$7, $H$5, 0)</f>
        <v/>
      </c>
      <c r="AJ29" s="2">
        <f>IF(35&gt;=$B$7, $B$5, 0) + IF(35&gt;=$E$7, $E$5, 0) + IF(35&gt;=$H$7, $H$5, 0)</f>
        <v/>
      </c>
      <c r="AK29" s="2">
        <f>IF(36&gt;=$B$7, $B$5, 0) + IF(36&gt;=$E$7, $E$5, 0) + IF(36&gt;=$H$7, $H$5, 0)</f>
        <v/>
      </c>
    </row>
    <row r="30">
      <c r="A30" t="inlineStr">
        <is>
          <t xml:space="preserve">  └ 広告宣伝費等</t>
        </is>
      </c>
      <c r="B30" s="2">
        <f>IF(B24&gt;0, $E$9, 0)</f>
        <v/>
      </c>
      <c r="C30" s="2">
        <f>IF(C24&gt;0, $E$9, 0)</f>
        <v/>
      </c>
      <c r="D30" s="2">
        <f>IF(D24&gt;0, $E$9, 0)</f>
        <v/>
      </c>
      <c r="E30" s="2">
        <f>IF(E24&gt;0, $E$9, 0)</f>
        <v/>
      </c>
      <c r="F30" s="2">
        <f>IF(F24&gt;0, $E$9, 0)</f>
        <v/>
      </c>
      <c r="G30" s="2">
        <f>IF(G24&gt;0, $E$9, 0)</f>
        <v/>
      </c>
      <c r="H30" s="2">
        <f>IF(H24&gt;0, $E$9, 0)</f>
        <v/>
      </c>
      <c r="I30" s="2">
        <f>IF(I24&gt;0, $E$9, 0)</f>
        <v/>
      </c>
      <c r="J30" s="2">
        <f>IF(J24&gt;0, $E$9, 0)</f>
        <v/>
      </c>
      <c r="K30" s="2">
        <f>IF(K24&gt;0, $E$9, 0)</f>
        <v/>
      </c>
      <c r="L30" s="2">
        <f>IF(L24&gt;0, $E$9, 0)</f>
        <v/>
      </c>
      <c r="M30" s="2">
        <f>IF(M24&gt;0, $E$9, 0)</f>
        <v/>
      </c>
      <c r="N30" s="2">
        <f>IF(N24&gt;0, $E$9, 0)</f>
        <v/>
      </c>
      <c r="O30" s="2">
        <f>IF(O24&gt;0, $E$9, 0)</f>
        <v/>
      </c>
      <c r="P30" s="2">
        <f>IF(P24&gt;0, $E$9, 0)</f>
        <v/>
      </c>
      <c r="Q30" s="2">
        <f>IF(Q24&gt;0, $E$9, 0)</f>
        <v/>
      </c>
      <c r="R30" s="2">
        <f>IF(R24&gt;0, $E$9, 0)</f>
        <v/>
      </c>
      <c r="S30" s="2">
        <f>IF(S24&gt;0, $E$9, 0)</f>
        <v/>
      </c>
      <c r="T30" s="2">
        <f>IF(T24&gt;0, $E$9, 0)</f>
        <v/>
      </c>
      <c r="U30" s="2">
        <f>IF(U24&gt;0, $E$9, 0)</f>
        <v/>
      </c>
      <c r="V30" s="2">
        <f>IF(V24&gt;0, $E$9, 0)</f>
        <v/>
      </c>
      <c r="W30" s="2">
        <f>IF(W24&gt;0, $E$9, 0)</f>
        <v/>
      </c>
      <c r="X30" s="2">
        <f>IF(X24&gt;0, $E$9, 0)</f>
        <v/>
      </c>
      <c r="Y30" s="2">
        <f>IF(Y24&gt;0, $E$9, 0)</f>
        <v/>
      </c>
      <c r="Z30" s="2">
        <f>IF(Z24&gt;0, $E$9, 0)</f>
        <v/>
      </c>
      <c r="AA30" s="2">
        <f>IF(AA24&gt;0, $E$9, 0)</f>
        <v/>
      </c>
      <c r="AB30" s="2">
        <f>IF(AB24&gt;0, $E$9, 0)</f>
        <v/>
      </c>
      <c r="AC30" s="2">
        <f>IF(AC24&gt;0, $E$9, 0)</f>
        <v/>
      </c>
      <c r="AD30" s="2">
        <f>IF(AD24&gt;0, $E$9, 0)</f>
        <v/>
      </c>
      <c r="AE30" s="2">
        <f>IF(AE24&gt;0, $E$9, 0)</f>
        <v/>
      </c>
      <c r="AF30" s="2">
        <f>IF(AF24&gt;0, $E$9, 0)</f>
        <v/>
      </c>
      <c r="AG30" s="2">
        <f>IF(AG24&gt;0, $E$9, 0)</f>
        <v/>
      </c>
      <c r="AH30" s="2">
        <f>IF(AH24&gt;0, $E$9, 0)</f>
        <v/>
      </c>
      <c r="AI30" s="2">
        <f>IF(AI24&gt;0, $E$9, 0)</f>
        <v/>
      </c>
      <c r="AJ30" s="2">
        <f>IF(AJ24&gt;0, $E$9, 0)</f>
        <v/>
      </c>
      <c r="AK30" s="2">
        <f>IF(AK24&gt;0, $E$9, 0)</f>
        <v/>
      </c>
    </row>
    <row r="31">
      <c r="A31" t="inlineStr">
        <is>
          <t xml:space="preserve">  └ システム管理費等</t>
        </is>
      </c>
      <c r="B31" s="2">
        <f>IF(B24&gt;0, $E$10, 0)</f>
        <v/>
      </c>
      <c r="C31" s="2">
        <f>IF(C24&gt;0, $E$10, 0)</f>
        <v/>
      </c>
      <c r="D31" s="2">
        <f>IF(D24&gt;0, $E$10, 0)</f>
        <v/>
      </c>
      <c r="E31" s="2">
        <f>IF(E24&gt;0, $E$10, 0)</f>
        <v/>
      </c>
      <c r="F31" s="2">
        <f>IF(F24&gt;0, $E$10, 0)</f>
        <v/>
      </c>
      <c r="G31" s="2">
        <f>IF(G24&gt;0, $E$10, 0)</f>
        <v/>
      </c>
      <c r="H31" s="2">
        <f>IF(H24&gt;0, $E$10, 0)</f>
        <v/>
      </c>
      <c r="I31" s="2">
        <f>IF(I24&gt;0, $E$10, 0)</f>
        <v/>
      </c>
      <c r="J31" s="2">
        <f>IF(J24&gt;0, $E$10, 0)</f>
        <v/>
      </c>
      <c r="K31" s="2">
        <f>IF(K24&gt;0, $E$10, 0)</f>
        <v/>
      </c>
      <c r="L31" s="2">
        <f>IF(L24&gt;0, $E$10, 0)</f>
        <v/>
      </c>
      <c r="M31" s="2">
        <f>IF(M24&gt;0, $E$10, 0)</f>
        <v/>
      </c>
      <c r="N31" s="2">
        <f>IF(N24&gt;0, $E$10, 0)</f>
        <v/>
      </c>
      <c r="O31" s="2">
        <f>IF(O24&gt;0, $E$10, 0)</f>
        <v/>
      </c>
      <c r="P31" s="2">
        <f>IF(P24&gt;0, $E$10, 0)</f>
        <v/>
      </c>
      <c r="Q31" s="2">
        <f>IF(Q24&gt;0, $E$10, 0)</f>
        <v/>
      </c>
      <c r="R31" s="2">
        <f>IF(R24&gt;0, $E$10, 0)</f>
        <v/>
      </c>
      <c r="S31" s="2">
        <f>IF(S24&gt;0, $E$10, 0)</f>
        <v/>
      </c>
      <c r="T31" s="2">
        <f>IF(T24&gt;0, $E$10, 0)</f>
        <v/>
      </c>
      <c r="U31" s="2">
        <f>IF(U24&gt;0, $E$10, 0)</f>
        <v/>
      </c>
      <c r="V31" s="2">
        <f>IF(V24&gt;0, $E$10, 0)</f>
        <v/>
      </c>
      <c r="W31" s="2">
        <f>IF(W24&gt;0, $E$10, 0)</f>
        <v/>
      </c>
      <c r="X31" s="2">
        <f>IF(X24&gt;0, $E$10, 0)</f>
        <v/>
      </c>
      <c r="Y31" s="2">
        <f>IF(Y24&gt;0, $E$10, 0)</f>
        <v/>
      </c>
      <c r="Z31" s="2">
        <f>IF(Z24&gt;0, $E$10, 0)</f>
        <v/>
      </c>
      <c r="AA31" s="2">
        <f>IF(AA24&gt;0, $E$10, 0)</f>
        <v/>
      </c>
      <c r="AB31" s="2">
        <f>IF(AB24&gt;0, $E$10, 0)</f>
        <v/>
      </c>
      <c r="AC31" s="2">
        <f>IF(AC24&gt;0, $E$10, 0)</f>
        <v/>
      </c>
      <c r="AD31" s="2">
        <f>IF(AD24&gt;0, $E$10, 0)</f>
        <v/>
      </c>
      <c r="AE31" s="2">
        <f>IF(AE24&gt;0, $E$10, 0)</f>
        <v/>
      </c>
      <c r="AF31" s="2">
        <f>IF(AF24&gt;0, $E$10, 0)</f>
        <v/>
      </c>
      <c r="AG31" s="2">
        <f>IF(AG24&gt;0, $E$10, 0)</f>
        <v/>
      </c>
      <c r="AH31" s="2">
        <f>IF(AH24&gt;0, $E$10, 0)</f>
        <v/>
      </c>
      <c r="AI31" s="2">
        <f>IF(AI24&gt;0, $E$10, 0)</f>
        <v/>
      </c>
      <c r="AJ31" s="2">
        <f>IF(AJ24&gt;0, $E$10, 0)</f>
        <v/>
      </c>
      <c r="AK31" s="2">
        <f>IF(AK24&gt;0, $E$10, 0)</f>
        <v/>
      </c>
    </row>
    <row r="32">
      <c r="A32" s="4" t="inlineStr">
        <is>
          <t>販管費 合計</t>
        </is>
      </c>
      <c r="B32" s="7">
        <f>SUM(B29:B31)</f>
        <v/>
      </c>
      <c r="C32" s="7">
        <f>SUM(C29:C31)</f>
        <v/>
      </c>
      <c r="D32" s="7">
        <f>SUM(D29:D31)</f>
        <v/>
      </c>
      <c r="E32" s="7">
        <f>SUM(E29:E31)</f>
        <v/>
      </c>
      <c r="F32" s="7">
        <f>SUM(F29:F31)</f>
        <v/>
      </c>
      <c r="G32" s="7">
        <f>SUM(G29:G31)</f>
        <v/>
      </c>
      <c r="H32" s="7">
        <f>SUM(H29:H31)</f>
        <v/>
      </c>
      <c r="I32" s="7">
        <f>SUM(I29:I31)</f>
        <v/>
      </c>
      <c r="J32" s="7">
        <f>SUM(J29:J31)</f>
        <v/>
      </c>
      <c r="K32" s="7">
        <f>SUM(K29:K31)</f>
        <v/>
      </c>
      <c r="L32" s="7">
        <f>SUM(L29:L31)</f>
        <v/>
      </c>
      <c r="M32" s="7">
        <f>SUM(M29:M31)</f>
        <v/>
      </c>
      <c r="N32" s="7">
        <f>SUM(N29:N31)</f>
        <v/>
      </c>
      <c r="O32" s="7">
        <f>SUM(O29:O31)</f>
        <v/>
      </c>
      <c r="P32" s="7">
        <f>SUM(P29:P31)</f>
        <v/>
      </c>
      <c r="Q32" s="7">
        <f>SUM(Q29:Q31)</f>
        <v/>
      </c>
      <c r="R32" s="7">
        <f>SUM(R29:R31)</f>
        <v/>
      </c>
      <c r="S32" s="7">
        <f>SUM(S29:S31)</f>
        <v/>
      </c>
      <c r="T32" s="7">
        <f>SUM(T29:T31)</f>
        <v/>
      </c>
      <c r="U32" s="7">
        <f>SUM(U29:U31)</f>
        <v/>
      </c>
      <c r="V32" s="7">
        <f>SUM(V29:V31)</f>
        <v/>
      </c>
      <c r="W32" s="7">
        <f>SUM(W29:W31)</f>
        <v/>
      </c>
      <c r="X32" s="7">
        <f>SUM(X29:X31)</f>
        <v/>
      </c>
      <c r="Y32" s="7">
        <f>SUM(Y29:Y31)</f>
        <v/>
      </c>
      <c r="Z32" s="7">
        <f>SUM(Z29:Z31)</f>
        <v/>
      </c>
      <c r="AA32" s="7">
        <f>SUM(AA29:AA31)</f>
        <v/>
      </c>
      <c r="AB32" s="7">
        <f>SUM(AB29:AB31)</f>
        <v/>
      </c>
      <c r="AC32" s="7">
        <f>SUM(AC29:AC31)</f>
        <v/>
      </c>
      <c r="AD32" s="7">
        <f>SUM(AD29:AD31)</f>
        <v/>
      </c>
      <c r="AE32" s="7">
        <f>SUM(AE29:AE31)</f>
        <v/>
      </c>
      <c r="AF32" s="7">
        <f>SUM(AF29:AF31)</f>
        <v/>
      </c>
      <c r="AG32" s="7">
        <f>SUM(AG29:AG31)</f>
        <v/>
      </c>
      <c r="AH32" s="7">
        <f>SUM(AH29:AH31)</f>
        <v/>
      </c>
      <c r="AI32" s="7">
        <f>SUM(AI29:AI31)</f>
        <v/>
      </c>
      <c r="AJ32" s="7">
        <f>SUM(AJ29:AJ31)</f>
        <v/>
      </c>
      <c r="AK32" s="7">
        <f>SUM(AK29:AK31)</f>
        <v/>
      </c>
    </row>
    <row r="33">
      <c r="A33" s="4" t="inlineStr">
        <is>
          <t>【営業利益 (EBITDA)】</t>
        </is>
      </c>
      <c r="B33" s="7">
        <f>B27 - B32</f>
        <v/>
      </c>
      <c r="C33" s="7">
        <f>C27 - C32</f>
        <v/>
      </c>
      <c r="D33" s="7">
        <f>D27 - D32</f>
        <v/>
      </c>
      <c r="E33" s="7">
        <f>E27 - E32</f>
        <v/>
      </c>
      <c r="F33" s="7">
        <f>F27 - F32</f>
        <v/>
      </c>
      <c r="G33" s="7">
        <f>G27 - G32</f>
        <v/>
      </c>
      <c r="H33" s="7">
        <f>H27 - H32</f>
        <v/>
      </c>
      <c r="I33" s="7">
        <f>I27 - I32</f>
        <v/>
      </c>
      <c r="J33" s="7">
        <f>J27 - J32</f>
        <v/>
      </c>
      <c r="K33" s="7">
        <f>K27 - K32</f>
        <v/>
      </c>
      <c r="L33" s="7">
        <f>L27 - L32</f>
        <v/>
      </c>
      <c r="M33" s="7">
        <f>M27 - M32</f>
        <v/>
      </c>
      <c r="N33" s="7">
        <f>N27 - N32</f>
        <v/>
      </c>
      <c r="O33" s="7">
        <f>O27 - O32</f>
        <v/>
      </c>
      <c r="P33" s="7">
        <f>P27 - P32</f>
        <v/>
      </c>
      <c r="Q33" s="7">
        <f>Q27 - Q32</f>
        <v/>
      </c>
      <c r="R33" s="7">
        <f>R27 - R32</f>
        <v/>
      </c>
      <c r="S33" s="7">
        <f>S27 - S32</f>
        <v/>
      </c>
      <c r="T33" s="7">
        <f>T27 - T32</f>
        <v/>
      </c>
      <c r="U33" s="7">
        <f>U27 - U32</f>
        <v/>
      </c>
      <c r="V33" s="7">
        <f>V27 - V32</f>
        <v/>
      </c>
      <c r="W33" s="7">
        <f>W27 - W32</f>
        <v/>
      </c>
      <c r="X33" s="7">
        <f>X27 - X32</f>
        <v/>
      </c>
      <c r="Y33" s="7">
        <f>Y27 - Y32</f>
        <v/>
      </c>
      <c r="Z33" s="7">
        <f>Z27 - Z32</f>
        <v/>
      </c>
      <c r="AA33" s="7">
        <f>AA27 - AA32</f>
        <v/>
      </c>
      <c r="AB33" s="7">
        <f>AB27 - AB32</f>
        <v/>
      </c>
      <c r="AC33" s="7">
        <f>AC27 - AC32</f>
        <v/>
      </c>
      <c r="AD33" s="7">
        <f>AD27 - AD32</f>
        <v/>
      </c>
      <c r="AE33" s="7">
        <f>AE27 - AE32</f>
        <v/>
      </c>
      <c r="AF33" s="7">
        <f>AF27 - AF32</f>
        <v/>
      </c>
      <c r="AG33" s="7">
        <f>AG27 - AG32</f>
        <v/>
      </c>
      <c r="AH33" s="7">
        <f>AH27 - AH32</f>
        <v/>
      </c>
      <c r="AI33" s="7">
        <f>AI27 - AI32</f>
        <v/>
      </c>
      <c r="AJ33" s="7">
        <f>AJ27 - AJ32</f>
        <v/>
      </c>
      <c r="AK33" s="7">
        <f>AK27 - AK32</f>
        <v/>
      </c>
    </row>
    <row r="34">
      <c r="A34" t="inlineStr">
        <is>
          <t>営業利益率</t>
        </is>
      </c>
      <c r="B34" s="3">
        <f>IF(B24&gt;0, B33/B24, 0)</f>
        <v/>
      </c>
      <c r="C34" s="3">
        <f>IF(C24&gt;0, C33/C24, 0)</f>
        <v/>
      </c>
      <c r="D34" s="3">
        <f>IF(D24&gt;0, D33/D24, 0)</f>
        <v/>
      </c>
      <c r="E34" s="3">
        <f>IF(E24&gt;0, E33/E24, 0)</f>
        <v/>
      </c>
      <c r="F34" s="3">
        <f>IF(F24&gt;0, F33/F24, 0)</f>
        <v/>
      </c>
      <c r="G34" s="3">
        <f>IF(G24&gt;0, G33/G24, 0)</f>
        <v/>
      </c>
      <c r="H34" s="3">
        <f>IF(H24&gt;0, H33/H24, 0)</f>
        <v/>
      </c>
      <c r="I34" s="3">
        <f>IF(I24&gt;0, I33/I24, 0)</f>
        <v/>
      </c>
      <c r="J34" s="3">
        <f>IF(J24&gt;0, J33/J24, 0)</f>
        <v/>
      </c>
      <c r="K34" s="3">
        <f>IF(K24&gt;0, K33/K24, 0)</f>
        <v/>
      </c>
      <c r="L34" s="3">
        <f>IF(L24&gt;0, L33/L24, 0)</f>
        <v/>
      </c>
      <c r="M34" s="3">
        <f>IF(M24&gt;0, M33/M24, 0)</f>
        <v/>
      </c>
      <c r="N34" s="3">
        <f>IF(N24&gt;0, N33/N24, 0)</f>
        <v/>
      </c>
      <c r="O34" s="3">
        <f>IF(O24&gt;0, O33/O24, 0)</f>
        <v/>
      </c>
      <c r="P34" s="3">
        <f>IF(P24&gt;0, P33/P24, 0)</f>
        <v/>
      </c>
      <c r="Q34" s="3">
        <f>IF(Q24&gt;0, Q33/Q24, 0)</f>
        <v/>
      </c>
      <c r="R34" s="3">
        <f>IF(R24&gt;0, R33/R24, 0)</f>
        <v/>
      </c>
      <c r="S34" s="3">
        <f>IF(S24&gt;0, S33/S24, 0)</f>
        <v/>
      </c>
      <c r="T34" s="3">
        <f>IF(T24&gt;0, T33/T24, 0)</f>
        <v/>
      </c>
      <c r="U34" s="3">
        <f>IF(U24&gt;0, U33/U24, 0)</f>
        <v/>
      </c>
      <c r="V34" s="3">
        <f>IF(V24&gt;0, V33/V24, 0)</f>
        <v/>
      </c>
      <c r="W34" s="3">
        <f>IF(W24&gt;0, W33/W24, 0)</f>
        <v/>
      </c>
      <c r="X34" s="3">
        <f>IF(X24&gt;0, X33/X24, 0)</f>
        <v/>
      </c>
      <c r="Y34" s="3">
        <f>IF(Y24&gt;0, Y33/Y24, 0)</f>
        <v/>
      </c>
      <c r="Z34" s="3">
        <f>IF(Z24&gt;0, Z33/Z24, 0)</f>
        <v/>
      </c>
      <c r="AA34" s="3">
        <f>IF(AA24&gt;0, AA33/AA24, 0)</f>
        <v/>
      </c>
      <c r="AB34" s="3">
        <f>IF(AB24&gt;0, AB33/AB24, 0)</f>
        <v/>
      </c>
      <c r="AC34" s="3">
        <f>IF(AC24&gt;0, AC33/AC24, 0)</f>
        <v/>
      </c>
      <c r="AD34" s="3">
        <f>IF(AD24&gt;0, AD33/AD24, 0)</f>
        <v/>
      </c>
      <c r="AE34" s="3">
        <f>IF(AE24&gt;0, AE33/AE24, 0)</f>
        <v/>
      </c>
      <c r="AF34" s="3">
        <f>IF(AF24&gt;0, AF33/AF24, 0)</f>
        <v/>
      </c>
      <c r="AG34" s="3">
        <f>IF(AG24&gt;0, AG33/AG24, 0)</f>
        <v/>
      </c>
      <c r="AH34" s="3">
        <f>IF(AH24&gt;0, AH33/AH24, 0)</f>
        <v/>
      </c>
      <c r="AI34" s="3">
        <f>IF(AI24&gt;0, AI33/AI24, 0)</f>
        <v/>
      </c>
      <c r="AJ34" s="3">
        <f>IF(AJ24&gt;0, AJ33/AJ24, 0)</f>
        <v/>
      </c>
      <c r="AK34" s="3">
        <f>IF(AK24&gt;0, AK33/AK24, 0)</f>
        <v/>
      </c>
    </row>
    <row r="35">
      <c r="A35" s="4" t="inlineStr">
        <is>
          <t>【投資CF・フリーCF】</t>
        </is>
      </c>
    </row>
    <row r="36">
      <c r="A36" t="inlineStr">
        <is>
          <t xml:space="preserve">  └ 初期投資/出店費用 (CAPEX)</t>
        </is>
      </c>
      <c r="B36" s="2">
        <f>IF(1=$B$7, $E$11, 0) + IF(1=$E$7, $E$11, 0) + IF(1=$H$7, $E$11, 0)</f>
        <v/>
      </c>
      <c r="C36" s="2">
        <f>IF(2=$B$7, $E$11, 0) + IF(2=$E$7, $E$11, 0) + IF(2=$H$7, $E$11, 0)</f>
        <v/>
      </c>
      <c r="D36" s="2">
        <f>IF(3=$B$7, $E$11, 0) + IF(3=$E$7, $E$11, 0) + IF(3=$H$7, $E$11, 0)</f>
        <v/>
      </c>
      <c r="E36" s="2">
        <f>IF(4=$B$7, $E$11, 0) + IF(4=$E$7, $E$11, 0) + IF(4=$H$7, $E$11, 0)</f>
        <v/>
      </c>
      <c r="F36" s="2">
        <f>IF(5=$B$7, $E$11, 0) + IF(5=$E$7, $E$11, 0) + IF(5=$H$7, $E$11, 0)</f>
        <v/>
      </c>
      <c r="G36" s="2">
        <f>IF(6=$B$7, $E$11, 0) + IF(6=$E$7, $E$11, 0) + IF(6=$H$7, $E$11, 0)</f>
        <v/>
      </c>
      <c r="H36" s="2">
        <f>IF(7=$B$7, $E$11, 0) + IF(7=$E$7, $E$11, 0) + IF(7=$H$7, $E$11, 0)</f>
        <v/>
      </c>
      <c r="I36" s="2">
        <f>IF(8=$B$7, $E$11, 0) + IF(8=$E$7, $E$11, 0) + IF(8=$H$7, $E$11, 0)</f>
        <v/>
      </c>
      <c r="J36" s="2">
        <f>IF(9=$B$7, $E$11, 0) + IF(9=$E$7, $E$11, 0) + IF(9=$H$7, $E$11, 0)</f>
        <v/>
      </c>
      <c r="K36" s="2">
        <f>IF(10=$B$7, $E$11, 0) + IF(10=$E$7, $E$11, 0) + IF(10=$H$7, $E$11, 0)</f>
        <v/>
      </c>
      <c r="L36" s="2">
        <f>IF(11=$B$7, $E$11, 0) + IF(11=$E$7, $E$11, 0) + IF(11=$H$7, $E$11, 0)</f>
        <v/>
      </c>
      <c r="M36" s="2">
        <f>IF(12=$B$7, $E$11, 0) + IF(12=$E$7, $E$11, 0) + IF(12=$H$7, $E$11, 0)</f>
        <v/>
      </c>
      <c r="N36" s="2">
        <f>IF(13=$B$7, $E$11, 0) + IF(13=$E$7, $E$11, 0) + IF(13=$H$7, $E$11, 0)</f>
        <v/>
      </c>
      <c r="O36" s="2">
        <f>IF(14=$B$7, $E$11, 0) + IF(14=$E$7, $E$11, 0) + IF(14=$H$7, $E$11, 0)</f>
        <v/>
      </c>
      <c r="P36" s="2">
        <f>IF(15=$B$7, $E$11, 0) + IF(15=$E$7, $E$11, 0) + IF(15=$H$7, $E$11, 0)</f>
        <v/>
      </c>
      <c r="Q36" s="2">
        <f>IF(16=$B$7, $E$11, 0) + IF(16=$E$7, $E$11, 0) + IF(16=$H$7, $E$11, 0)</f>
        <v/>
      </c>
      <c r="R36" s="2">
        <f>IF(17=$B$7, $E$11, 0) + IF(17=$E$7, $E$11, 0) + IF(17=$H$7, $E$11, 0)</f>
        <v/>
      </c>
      <c r="S36" s="2">
        <f>IF(18=$B$7, $E$11, 0) + IF(18=$E$7, $E$11, 0) + IF(18=$H$7, $E$11, 0)</f>
        <v/>
      </c>
      <c r="T36" s="2">
        <f>IF(19=$B$7, $E$11, 0) + IF(19=$E$7, $E$11, 0) + IF(19=$H$7, $E$11, 0)</f>
        <v/>
      </c>
      <c r="U36" s="2">
        <f>IF(20=$B$7, $E$11, 0) + IF(20=$E$7, $E$11, 0) + IF(20=$H$7, $E$11, 0)</f>
        <v/>
      </c>
      <c r="V36" s="2">
        <f>IF(21=$B$7, $E$11, 0) + IF(21=$E$7, $E$11, 0) + IF(21=$H$7, $E$11, 0)</f>
        <v/>
      </c>
      <c r="W36" s="2">
        <f>IF(22=$B$7, $E$11, 0) + IF(22=$E$7, $E$11, 0) + IF(22=$H$7, $E$11, 0)</f>
        <v/>
      </c>
      <c r="X36" s="2">
        <f>IF(23=$B$7, $E$11, 0) + IF(23=$E$7, $E$11, 0) + IF(23=$H$7, $E$11, 0)</f>
        <v/>
      </c>
      <c r="Y36" s="2">
        <f>IF(24=$B$7, $E$11, 0) + IF(24=$E$7, $E$11, 0) + IF(24=$H$7, $E$11, 0)</f>
        <v/>
      </c>
      <c r="Z36" s="2">
        <f>IF(25=$B$7, $E$11, 0) + IF(25=$E$7, $E$11, 0) + IF(25=$H$7, $E$11, 0)</f>
        <v/>
      </c>
      <c r="AA36" s="2">
        <f>IF(26=$B$7, $E$11, 0) + IF(26=$E$7, $E$11, 0) + IF(26=$H$7, $E$11, 0)</f>
        <v/>
      </c>
      <c r="AB36" s="2">
        <f>IF(27=$B$7, $E$11, 0) + IF(27=$E$7, $E$11, 0) + IF(27=$H$7, $E$11, 0)</f>
        <v/>
      </c>
      <c r="AC36" s="2">
        <f>IF(28=$B$7, $E$11, 0) + IF(28=$E$7, $E$11, 0) + IF(28=$H$7, $E$11, 0)</f>
        <v/>
      </c>
      <c r="AD36" s="2">
        <f>IF(29=$B$7, $E$11, 0) + IF(29=$E$7, $E$11, 0) + IF(29=$H$7, $E$11, 0)</f>
        <v/>
      </c>
      <c r="AE36" s="2">
        <f>IF(30=$B$7, $E$11, 0) + IF(30=$E$7, $E$11, 0) + IF(30=$H$7, $E$11, 0)</f>
        <v/>
      </c>
      <c r="AF36" s="2">
        <f>IF(31=$B$7, $E$11, 0) + IF(31=$E$7, $E$11, 0) + IF(31=$H$7, $E$11, 0)</f>
        <v/>
      </c>
      <c r="AG36" s="2">
        <f>IF(32=$B$7, $E$11, 0) + IF(32=$E$7, $E$11, 0) + IF(32=$H$7, $E$11, 0)</f>
        <v/>
      </c>
      <c r="AH36" s="2">
        <f>IF(33=$B$7, $E$11, 0) + IF(33=$E$7, $E$11, 0) + IF(33=$H$7, $E$11, 0)</f>
        <v/>
      </c>
      <c r="AI36" s="2">
        <f>IF(34=$B$7, $E$11, 0) + IF(34=$E$7, $E$11, 0) + IF(34=$H$7, $E$11, 0)</f>
        <v/>
      </c>
      <c r="AJ36" s="2">
        <f>IF(35=$B$7, $E$11, 0) + IF(35=$E$7, $E$11, 0) + IF(35=$H$7, $E$11, 0)</f>
        <v/>
      </c>
      <c r="AK36" s="2">
        <f>IF(36=$B$7, $E$11, 0) + IF(36=$E$7, $E$11, 0) + IF(36=$H$7, $E$11, 0)</f>
        <v/>
      </c>
    </row>
    <row r="37">
      <c r="A37" s="4" t="inlineStr">
        <is>
          <t>当月フリーキャッシュフロー</t>
        </is>
      </c>
      <c r="B37" s="7">
        <f>B33 - B36</f>
        <v/>
      </c>
      <c r="C37" s="7">
        <f>C33 - C36</f>
        <v/>
      </c>
      <c r="D37" s="7">
        <f>D33 - D36</f>
        <v/>
      </c>
      <c r="E37" s="7">
        <f>E33 - E36</f>
        <v/>
      </c>
      <c r="F37" s="7">
        <f>F33 - F36</f>
        <v/>
      </c>
      <c r="G37" s="7">
        <f>G33 - G36</f>
        <v/>
      </c>
      <c r="H37" s="7">
        <f>H33 - H36</f>
        <v/>
      </c>
      <c r="I37" s="7">
        <f>I33 - I36</f>
        <v/>
      </c>
      <c r="J37" s="7">
        <f>J33 - J36</f>
        <v/>
      </c>
      <c r="K37" s="7">
        <f>K33 - K36</f>
        <v/>
      </c>
      <c r="L37" s="7">
        <f>L33 - L36</f>
        <v/>
      </c>
      <c r="M37" s="7">
        <f>M33 - M36</f>
        <v/>
      </c>
      <c r="N37" s="7">
        <f>N33 - N36</f>
        <v/>
      </c>
      <c r="O37" s="7">
        <f>O33 - O36</f>
        <v/>
      </c>
      <c r="P37" s="7">
        <f>P33 - P36</f>
        <v/>
      </c>
      <c r="Q37" s="7">
        <f>Q33 - Q36</f>
        <v/>
      </c>
      <c r="R37" s="7">
        <f>R33 - R36</f>
        <v/>
      </c>
      <c r="S37" s="7">
        <f>S33 - S36</f>
        <v/>
      </c>
      <c r="T37" s="7">
        <f>T33 - T36</f>
        <v/>
      </c>
      <c r="U37" s="7">
        <f>U33 - U36</f>
        <v/>
      </c>
      <c r="V37" s="7">
        <f>V33 - V36</f>
        <v/>
      </c>
      <c r="W37" s="7">
        <f>W33 - W36</f>
        <v/>
      </c>
      <c r="X37" s="7">
        <f>X33 - X36</f>
        <v/>
      </c>
      <c r="Y37" s="7">
        <f>Y33 - Y36</f>
        <v/>
      </c>
      <c r="Z37" s="7">
        <f>Z33 - Z36</f>
        <v/>
      </c>
      <c r="AA37" s="7">
        <f>AA33 - AA36</f>
        <v/>
      </c>
      <c r="AB37" s="7">
        <f>AB33 - AB36</f>
        <v/>
      </c>
      <c r="AC37" s="7">
        <f>AC33 - AC36</f>
        <v/>
      </c>
      <c r="AD37" s="7">
        <f>AD33 - AD36</f>
        <v/>
      </c>
      <c r="AE37" s="7">
        <f>AE33 - AE36</f>
        <v/>
      </c>
      <c r="AF37" s="7">
        <f>AF33 - AF36</f>
        <v/>
      </c>
      <c r="AG37" s="7">
        <f>AG33 - AG36</f>
        <v/>
      </c>
      <c r="AH37" s="7">
        <f>AH33 - AH36</f>
        <v/>
      </c>
      <c r="AI37" s="7">
        <f>AI33 - AI36</f>
        <v/>
      </c>
      <c r="AJ37" s="7">
        <f>AJ33 - AJ36</f>
        <v/>
      </c>
      <c r="AK37" s="7">
        <f>AK33 - AK36</f>
        <v/>
      </c>
    </row>
    <row r="38">
      <c r="A38" s="4" t="inlineStr">
        <is>
          <t>累積キャッシュフロー</t>
        </is>
      </c>
      <c r="B38" s="7">
        <f>B37</f>
        <v/>
      </c>
      <c r="C38" s="7">
        <f>B38 + C37</f>
        <v/>
      </c>
      <c r="D38" s="7">
        <f>C38 + D37</f>
        <v/>
      </c>
      <c r="E38" s="7">
        <f>D38 + E37</f>
        <v/>
      </c>
      <c r="F38" s="7">
        <f>E38 + F37</f>
        <v/>
      </c>
      <c r="G38" s="7">
        <f>F38 + G37</f>
        <v/>
      </c>
      <c r="H38" s="7">
        <f>G38 + H37</f>
        <v/>
      </c>
      <c r="I38" s="7">
        <f>H38 + I37</f>
        <v/>
      </c>
      <c r="J38" s="7">
        <f>I38 + J37</f>
        <v/>
      </c>
      <c r="K38" s="7">
        <f>J38 + K37</f>
        <v/>
      </c>
      <c r="L38" s="7">
        <f>K38 + L37</f>
        <v/>
      </c>
      <c r="M38" s="7">
        <f>L38 + M37</f>
        <v/>
      </c>
      <c r="N38" s="7">
        <f>M38 + N37</f>
        <v/>
      </c>
      <c r="O38" s="7">
        <f>N38 + O37</f>
        <v/>
      </c>
      <c r="P38" s="7">
        <f>O38 + P37</f>
        <v/>
      </c>
      <c r="Q38" s="7">
        <f>P38 + Q37</f>
        <v/>
      </c>
      <c r="R38" s="7">
        <f>Q38 + R37</f>
        <v/>
      </c>
      <c r="S38" s="7">
        <f>R38 + S37</f>
        <v/>
      </c>
      <c r="T38" s="7">
        <f>S38 + T37</f>
        <v/>
      </c>
      <c r="U38" s="7">
        <f>T38 + U37</f>
        <v/>
      </c>
      <c r="V38" s="7">
        <f>U38 + V37</f>
        <v/>
      </c>
      <c r="W38" s="7">
        <f>V38 + W37</f>
        <v/>
      </c>
      <c r="X38" s="7">
        <f>W38 + X37</f>
        <v/>
      </c>
      <c r="Y38" s="7">
        <f>X38 + Y37</f>
        <v/>
      </c>
      <c r="Z38" s="7">
        <f>Y38 + Z37</f>
        <v/>
      </c>
      <c r="AA38" s="7">
        <f>Z38 + AA37</f>
        <v/>
      </c>
      <c r="AB38" s="7">
        <f>AA38 + AB37</f>
        <v/>
      </c>
      <c r="AC38" s="7">
        <f>AB38 + AC37</f>
        <v/>
      </c>
      <c r="AD38" s="7">
        <f>AC38 + AD37</f>
        <v/>
      </c>
      <c r="AE38" s="7">
        <f>AD38 + AE37</f>
        <v/>
      </c>
      <c r="AF38" s="7">
        <f>AE38 + AF37</f>
        <v/>
      </c>
      <c r="AG38" s="7">
        <f>AF38 + AG37</f>
        <v/>
      </c>
      <c r="AH38" s="7">
        <f>AG38 + AH37</f>
        <v/>
      </c>
      <c r="AI38" s="7">
        <f>AH38 + AI37</f>
        <v/>
      </c>
      <c r="AJ38" s="7">
        <f>AI38 + AJ37</f>
        <v/>
      </c>
      <c r="AK38" s="7">
        <f>AJ38 + AK37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2026-03-07T13:03:47Z</dcterms:created>
  <dcterms:modified xmlns:dcterms="http://purl.org/dc/terms/" xmlns:xsi="http://www.w3.org/2001/XMLSchema-instance" xsi:type="dcterms:W3CDTF">2026-03-07T13:03:47Z</dcterms:modified>
</cp:coreProperties>
</file>