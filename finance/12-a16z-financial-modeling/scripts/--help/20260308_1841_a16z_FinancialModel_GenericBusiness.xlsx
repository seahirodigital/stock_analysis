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Y_Financial_Model_a16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right"/>
    </xf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</cols>
  <sheetData>
    <row r="1">
      <c r="A1" s="1" t="inlineStr">
        <is>
          <t>【前提条件 (Assumptions)】</t>
        </is>
      </c>
    </row>
    <row r="2">
      <c r="A2" t="inlineStr">
        <is>
          <t>※ ここ（B列・E列）の数値を変更すると、下のシミュレーションが自動で再計算されます。</t>
        </is>
      </c>
    </row>
    <row r="4">
      <c r="A4" s="2" t="inlineStr">
        <is>
          <t>[売上・KPI変数]</t>
        </is>
      </c>
      <c r="D4" s="2" t="inlineStr">
        <is>
          <t>[コスト・投資変数]</t>
        </is>
      </c>
      <c r="G4" s="2" t="inlineStr">
        <is>
          <t>[人件費・組織変数]</t>
        </is>
      </c>
    </row>
    <row r="5">
      <c r="A5" t="inlineStr">
        <is>
          <t>事業開始月（Month X）</t>
        </is>
      </c>
      <c r="B5" t="n">
        <v>1</v>
      </c>
      <c r="D5" t="inlineStr">
        <is>
          <t>初期投資額 (CAPEX)</t>
        </is>
      </c>
      <c r="E5" s="3" t="n">
        <v>5000000</v>
      </c>
      <c r="G5" t="inlineStr">
        <is>
          <t>役員・正社員数</t>
        </is>
      </c>
      <c r="H5" t="n">
        <v>2</v>
      </c>
    </row>
    <row r="6">
      <c r="A6" t="inlineStr">
        <is>
          <t>初期獲得顧客数/販売数 (月間)</t>
        </is>
      </c>
      <c r="B6" s="3" t="n">
        <v>100</v>
      </c>
      <c r="D6" t="inlineStr">
        <is>
          <t>月間マーケティング予算</t>
        </is>
      </c>
      <c r="E6" s="3" t="n">
        <v>300000</v>
      </c>
      <c r="G6" t="inlineStr">
        <is>
          <t>平均月給程</t>
        </is>
      </c>
      <c r="H6" s="3" t="n">
        <v>300000</v>
      </c>
    </row>
    <row r="7">
      <c r="A7" t="inlineStr">
        <is>
          <t>月次成長率 (MoM Growth)</t>
        </is>
      </c>
      <c r="B7" s="4" t="n">
        <v>0.1</v>
      </c>
      <c r="D7" t="inlineStr">
        <is>
          <t>月間地代家賃・オフィス代</t>
        </is>
      </c>
      <c r="E7" s="3" t="n">
        <v>200000</v>
      </c>
      <c r="G7" t="inlineStr">
        <is>
          <t>外注・アルバイト月間枠</t>
        </is>
      </c>
      <c r="H7" s="3" t="n">
        <v>100000</v>
      </c>
    </row>
    <row r="8">
      <c r="A8" t="inlineStr">
        <is>
          <t>平均単価 (ARPU等)</t>
        </is>
      </c>
      <c r="B8" s="3" t="n">
        <v>10000</v>
      </c>
      <c r="D8" t="inlineStr">
        <is>
          <t>月間システム・サーバー代</t>
        </is>
      </c>
      <c r="E8" s="3" t="n">
        <v>50000</v>
      </c>
      <c r="G8" t="inlineStr">
        <is>
          <t>人件費合計 (月)</t>
        </is>
      </c>
      <c r="H8" s="3">
        <f>H5*H6+H7</f>
        <v/>
      </c>
    </row>
    <row r="9">
      <c r="A9" t="inlineStr">
        <is>
          <t>売上原価率 (COGS %)</t>
        </is>
      </c>
      <c r="B9" s="4" t="n">
        <v>0.2</v>
      </c>
    </row>
    <row r="12">
      <c r="A12" s="2" t="inlineStr">
        <is>
          <t>勘定科目 (P&amp;L Items)</t>
        </is>
      </c>
      <c r="B12" s="5" t="inlineStr">
        <is>
          <t>Month 1</t>
        </is>
      </c>
      <c r="C12" s="5" t="inlineStr">
        <is>
          <t>Month 2</t>
        </is>
      </c>
      <c r="D12" s="5" t="inlineStr">
        <is>
          <t>Month 3</t>
        </is>
      </c>
      <c r="E12" s="5" t="inlineStr">
        <is>
          <t>Month 4</t>
        </is>
      </c>
      <c r="F12" s="5" t="inlineStr">
        <is>
          <t>Month 5</t>
        </is>
      </c>
      <c r="G12" s="5" t="inlineStr">
        <is>
          <t>Month 6</t>
        </is>
      </c>
      <c r="H12" s="5" t="inlineStr">
        <is>
          <t>Month 7</t>
        </is>
      </c>
      <c r="I12" s="5" t="inlineStr">
        <is>
          <t>Month 8</t>
        </is>
      </c>
      <c r="J12" s="5" t="inlineStr">
        <is>
          <t>Month 9</t>
        </is>
      </c>
      <c r="K12" s="5" t="inlineStr">
        <is>
          <t>Month 10</t>
        </is>
      </c>
      <c r="L12" s="5" t="inlineStr">
        <is>
          <t>Month 11</t>
        </is>
      </c>
      <c r="M12" s="5" t="inlineStr">
        <is>
          <t>Month 12</t>
        </is>
      </c>
      <c r="N12" s="5" t="inlineStr">
        <is>
          <t>Month 13</t>
        </is>
      </c>
      <c r="O12" s="5" t="inlineStr">
        <is>
          <t>Month 14</t>
        </is>
      </c>
      <c r="P12" s="5" t="inlineStr">
        <is>
          <t>Month 15</t>
        </is>
      </c>
      <c r="Q12" s="5" t="inlineStr">
        <is>
          <t>Month 16</t>
        </is>
      </c>
      <c r="R12" s="5" t="inlineStr">
        <is>
          <t>Month 17</t>
        </is>
      </c>
      <c r="S12" s="5" t="inlineStr">
        <is>
          <t>Month 18</t>
        </is>
      </c>
      <c r="T12" s="5" t="inlineStr">
        <is>
          <t>Month 19</t>
        </is>
      </c>
      <c r="U12" s="5" t="inlineStr">
        <is>
          <t>Month 20</t>
        </is>
      </c>
      <c r="V12" s="5" t="inlineStr">
        <is>
          <t>Month 21</t>
        </is>
      </c>
      <c r="W12" s="5" t="inlineStr">
        <is>
          <t>Month 22</t>
        </is>
      </c>
      <c r="X12" s="5" t="inlineStr">
        <is>
          <t>Month 23</t>
        </is>
      </c>
      <c r="Y12" s="5" t="inlineStr">
        <is>
          <t>Month 24</t>
        </is>
      </c>
      <c r="Z12" s="5" t="inlineStr">
        <is>
          <t>Month 25</t>
        </is>
      </c>
      <c r="AA12" s="5" t="inlineStr">
        <is>
          <t>Month 26</t>
        </is>
      </c>
      <c r="AB12" s="5" t="inlineStr">
        <is>
          <t>Month 27</t>
        </is>
      </c>
      <c r="AC12" s="5" t="inlineStr">
        <is>
          <t>Month 28</t>
        </is>
      </c>
      <c r="AD12" s="5" t="inlineStr">
        <is>
          <t>Month 29</t>
        </is>
      </c>
      <c r="AE12" s="5" t="inlineStr">
        <is>
          <t>Month 30</t>
        </is>
      </c>
      <c r="AF12" s="5" t="inlineStr">
        <is>
          <t>Month 31</t>
        </is>
      </c>
      <c r="AG12" s="5" t="inlineStr">
        <is>
          <t>Month 32</t>
        </is>
      </c>
      <c r="AH12" s="5" t="inlineStr">
        <is>
          <t>Month 33</t>
        </is>
      </c>
      <c r="AI12" s="5" t="inlineStr">
        <is>
          <t>Month 34</t>
        </is>
      </c>
      <c r="AJ12" s="5" t="inlineStr">
        <is>
          <t>Month 35</t>
        </is>
      </c>
      <c r="AK12" s="5" t="inlineStr">
        <is>
          <t>Month 36</t>
        </is>
      </c>
    </row>
    <row r="13">
      <c r="A13" s="2" t="inlineStr">
        <is>
          <t>【主要KPI】</t>
        </is>
      </c>
    </row>
    <row r="14">
      <c r="A14" t="inlineStr">
        <is>
          <t xml:space="preserve">  └ ボリューム (顧客数/販売数等)</t>
        </is>
      </c>
      <c r="B14" s="3">
        <f>IF(1&gt;=$B$5, $B$6, 0)</f>
        <v/>
      </c>
      <c r="C14" s="3">
        <f>IF(2&gt;=$B$5, B14*(1+$B$7), 0)</f>
        <v/>
      </c>
      <c r="D14" s="3">
        <f>IF(3&gt;=$B$5, C14*(1+$B$7), 0)</f>
        <v/>
      </c>
      <c r="E14" s="3">
        <f>IF(4&gt;=$B$5, D14*(1+$B$7), 0)</f>
        <v/>
      </c>
      <c r="F14" s="3">
        <f>IF(5&gt;=$B$5, E14*(1+$B$7), 0)</f>
        <v/>
      </c>
      <c r="G14" s="3">
        <f>IF(6&gt;=$B$5, F14*(1+$B$7), 0)</f>
        <v/>
      </c>
      <c r="H14" s="3">
        <f>IF(7&gt;=$B$5, G14*(1+$B$7), 0)</f>
        <v/>
      </c>
      <c r="I14" s="3">
        <f>IF(8&gt;=$B$5, H14*(1+$B$7), 0)</f>
        <v/>
      </c>
      <c r="J14" s="3">
        <f>IF(9&gt;=$B$5, I14*(1+$B$7), 0)</f>
        <v/>
      </c>
      <c r="K14" s="3">
        <f>IF(10&gt;=$B$5, J14*(1+$B$7), 0)</f>
        <v/>
      </c>
      <c r="L14" s="3">
        <f>IF(11&gt;=$B$5, K14*(1+$B$7), 0)</f>
        <v/>
      </c>
      <c r="M14" s="3">
        <f>IF(12&gt;=$B$5, L14*(1+$B$7), 0)</f>
        <v/>
      </c>
      <c r="N14" s="3">
        <f>IF(13&gt;=$B$5, M14*(1+$B$7), 0)</f>
        <v/>
      </c>
      <c r="O14" s="3">
        <f>IF(14&gt;=$B$5, N14*(1+$B$7), 0)</f>
        <v/>
      </c>
      <c r="P14" s="3">
        <f>IF(15&gt;=$B$5, O14*(1+$B$7), 0)</f>
        <v/>
      </c>
      <c r="Q14" s="3">
        <f>IF(16&gt;=$B$5, P14*(1+$B$7), 0)</f>
        <v/>
      </c>
      <c r="R14" s="3">
        <f>IF(17&gt;=$B$5, Q14*(1+$B$7), 0)</f>
        <v/>
      </c>
      <c r="S14" s="3">
        <f>IF(18&gt;=$B$5, R14*(1+$B$7), 0)</f>
        <v/>
      </c>
      <c r="T14" s="3">
        <f>IF(19&gt;=$B$5, S14*(1+$B$7), 0)</f>
        <v/>
      </c>
      <c r="U14" s="3">
        <f>IF(20&gt;=$B$5, T14*(1+$B$7), 0)</f>
        <v/>
      </c>
      <c r="V14" s="3">
        <f>IF(21&gt;=$B$5, U14*(1+$B$7), 0)</f>
        <v/>
      </c>
      <c r="W14" s="3">
        <f>IF(22&gt;=$B$5, V14*(1+$B$7), 0)</f>
        <v/>
      </c>
      <c r="X14" s="3">
        <f>IF(23&gt;=$B$5, W14*(1+$B$7), 0)</f>
        <v/>
      </c>
      <c r="Y14" s="3">
        <f>IF(24&gt;=$B$5, X14*(1+$B$7), 0)</f>
        <v/>
      </c>
      <c r="Z14" s="3">
        <f>IF(25&gt;=$B$5, Y14*(1+$B$7), 0)</f>
        <v/>
      </c>
      <c r="AA14" s="3">
        <f>IF(26&gt;=$B$5, Z14*(1+$B$7), 0)</f>
        <v/>
      </c>
      <c r="AB14" s="3">
        <f>IF(27&gt;=$B$5, AA14*(1+$B$7), 0)</f>
        <v/>
      </c>
      <c r="AC14" s="3">
        <f>IF(28&gt;=$B$5, AB14*(1+$B$7), 0)</f>
        <v/>
      </c>
      <c r="AD14" s="3">
        <f>IF(29&gt;=$B$5, AC14*(1+$B$7), 0)</f>
        <v/>
      </c>
      <c r="AE14" s="3">
        <f>IF(30&gt;=$B$5, AD14*(1+$B$7), 0)</f>
        <v/>
      </c>
      <c r="AF14" s="3">
        <f>IF(31&gt;=$B$5, AE14*(1+$B$7), 0)</f>
        <v/>
      </c>
      <c r="AG14" s="3">
        <f>IF(32&gt;=$B$5, AF14*(1+$B$7), 0)</f>
        <v/>
      </c>
      <c r="AH14" s="3">
        <f>IF(33&gt;=$B$5, AG14*(1+$B$7), 0)</f>
        <v/>
      </c>
      <c r="AI14" s="3">
        <f>IF(34&gt;=$B$5, AH14*(1+$B$7), 0)</f>
        <v/>
      </c>
      <c r="AJ14" s="3">
        <f>IF(35&gt;=$B$5, AI14*(1+$B$7), 0)</f>
        <v/>
      </c>
      <c r="AK14" s="3">
        <f>IF(36&gt;=$B$5, AJ14*(1+$B$7), 0)</f>
        <v/>
      </c>
    </row>
    <row r="15">
      <c r="A15" s="2" t="inlineStr">
        <is>
          <t>【売上高】</t>
        </is>
      </c>
    </row>
    <row r="16">
      <c r="A16" t="inlineStr">
        <is>
          <t xml:space="preserve">  └ メイン売上</t>
        </is>
      </c>
      <c r="B16" s="3">
        <f>B14 * $B$8</f>
        <v/>
      </c>
      <c r="C16" s="3">
        <f>C14 * $B$8</f>
        <v/>
      </c>
      <c r="D16" s="3">
        <f>D14 * $B$8</f>
        <v/>
      </c>
      <c r="E16" s="3">
        <f>E14 * $B$8</f>
        <v/>
      </c>
      <c r="F16" s="3">
        <f>F14 * $B$8</f>
        <v/>
      </c>
      <c r="G16" s="3">
        <f>G14 * $B$8</f>
        <v/>
      </c>
      <c r="H16" s="3">
        <f>H14 * $B$8</f>
        <v/>
      </c>
      <c r="I16" s="3">
        <f>I14 * $B$8</f>
        <v/>
      </c>
      <c r="J16" s="3">
        <f>J14 * $B$8</f>
        <v/>
      </c>
      <c r="K16" s="3">
        <f>K14 * $B$8</f>
        <v/>
      </c>
      <c r="L16" s="3">
        <f>L14 * $B$8</f>
        <v/>
      </c>
      <c r="M16" s="3">
        <f>M14 * $B$8</f>
        <v/>
      </c>
      <c r="N16" s="3">
        <f>N14 * $B$8</f>
        <v/>
      </c>
      <c r="O16" s="3">
        <f>O14 * $B$8</f>
        <v/>
      </c>
      <c r="P16" s="3">
        <f>P14 * $B$8</f>
        <v/>
      </c>
      <c r="Q16" s="3">
        <f>Q14 * $B$8</f>
        <v/>
      </c>
      <c r="R16" s="3">
        <f>R14 * $B$8</f>
        <v/>
      </c>
      <c r="S16" s="3">
        <f>S14 * $B$8</f>
        <v/>
      </c>
      <c r="T16" s="3">
        <f>T14 * $B$8</f>
        <v/>
      </c>
      <c r="U16" s="3">
        <f>U14 * $B$8</f>
        <v/>
      </c>
      <c r="V16" s="3">
        <f>V14 * $B$8</f>
        <v/>
      </c>
      <c r="W16" s="3">
        <f>W14 * $B$8</f>
        <v/>
      </c>
      <c r="X16" s="3">
        <f>X14 * $B$8</f>
        <v/>
      </c>
      <c r="Y16" s="3">
        <f>Y14 * $B$8</f>
        <v/>
      </c>
      <c r="Z16" s="3">
        <f>Z14 * $B$8</f>
        <v/>
      </c>
      <c r="AA16" s="3">
        <f>AA14 * $B$8</f>
        <v/>
      </c>
      <c r="AB16" s="3">
        <f>AB14 * $B$8</f>
        <v/>
      </c>
      <c r="AC16" s="3">
        <f>AC14 * $B$8</f>
        <v/>
      </c>
      <c r="AD16" s="3">
        <f>AD14 * $B$8</f>
        <v/>
      </c>
      <c r="AE16" s="3">
        <f>AE14 * $B$8</f>
        <v/>
      </c>
      <c r="AF16" s="3">
        <f>AF14 * $B$8</f>
        <v/>
      </c>
      <c r="AG16" s="3">
        <f>AG14 * $B$8</f>
        <v/>
      </c>
      <c r="AH16" s="3">
        <f>AH14 * $B$8</f>
        <v/>
      </c>
      <c r="AI16" s="3">
        <f>AI14 * $B$8</f>
        <v/>
      </c>
      <c r="AJ16" s="3">
        <f>AJ14 * $B$8</f>
        <v/>
      </c>
      <c r="AK16" s="3">
        <f>AK14 * $B$8</f>
        <v/>
      </c>
    </row>
    <row r="17">
      <c r="A17" s="2" t="inlineStr">
        <is>
          <t>売上高 合計</t>
        </is>
      </c>
      <c r="B17" s="6">
        <f>B16</f>
        <v/>
      </c>
      <c r="C17" s="6">
        <f>C16</f>
        <v/>
      </c>
      <c r="D17" s="6">
        <f>D16</f>
        <v/>
      </c>
      <c r="E17" s="6">
        <f>E16</f>
        <v/>
      </c>
      <c r="F17" s="6">
        <f>F16</f>
        <v/>
      </c>
      <c r="G17" s="6">
        <f>G16</f>
        <v/>
      </c>
      <c r="H17" s="6">
        <f>H16</f>
        <v/>
      </c>
      <c r="I17" s="6">
        <f>I16</f>
        <v/>
      </c>
      <c r="J17" s="6">
        <f>J16</f>
        <v/>
      </c>
      <c r="K17" s="6">
        <f>K16</f>
        <v/>
      </c>
      <c r="L17" s="6">
        <f>L16</f>
        <v/>
      </c>
      <c r="M17" s="6">
        <f>M16</f>
        <v/>
      </c>
      <c r="N17" s="6">
        <f>N16</f>
        <v/>
      </c>
      <c r="O17" s="6">
        <f>O16</f>
        <v/>
      </c>
      <c r="P17" s="6">
        <f>P16</f>
        <v/>
      </c>
      <c r="Q17" s="6">
        <f>Q16</f>
        <v/>
      </c>
      <c r="R17" s="6">
        <f>R16</f>
        <v/>
      </c>
      <c r="S17" s="6">
        <f>S16</f>
        <v/>
      </c>
      <c r="T17" s="6">
        <f>T16</f>
        <v/>
      </c>
      <c r="U17" s="6">
        <f>U16</f>
        <v/>
      </c>
      <c r="V17" s="6">
        <f>V16</f>
        <v/>
      </c>
      <c r="W17" s="6">
        <f>W16</f>
        <v/>
      </c>
      <c r="X17" s="6">
        <f>X16</f>
        <v/>
      </c>
      <c r="Y17" s="6">
        <f>Y16</f>
        <v/>
      </c>
      <c r="Z17" s="6">
        <f>Z16</f>
        <v/>
      </c>
      <c r="AA17" s="6">
        <f>AA16</f>
        <v/>
      </c>
      <c r="AB17" s="6">
        <f>AB16</f>
        <v/>
      </c>
      <c r="AC17" s="6">
        <f>AC16</f>
        <v/>
      </c>
      <c r="AD17" s="6">
        <f>AD16</f>
        <v/>
      </c>
      <c r="AE17" s="6">
        <f>AE16</f>
        <v/>
      </c>
      <c r="AF17" s="6">
        <f>AF16</f>
        <v/>
      </c>
      <c r="AG17" s="6">
        <f>AG16</f>
        <v/>
      </c>
      <c r="AH17" s="6">
        <f>AH16</f>
        <v/>
      </c>
      <c r="AI17" s="6">
        <f>AI16</f>
        <v/>
      </c>
      <c r="AJ17" s="6">
        <f>AJ16</f>
        <v/>
      </c>
      <c r="AK17" s="6">
        <f>AK16</f>
        <v/>
      </c>
    </row>
    <row r="18">
      <c r="A18" s="2" t="inlineStr">
        <is>
          <t>【売上原価（変動費）】</t>
        </is>
      </c>
    </row>
    <row r="19">
      <c r="A19" t="inlineStr">
        <is>
          <t xml:space="preserve">  └ COGS (原価率連動)</t>
        </is>
      </c>
      <c r="B19" s="3">
        <f>B17 * $B$9</f>
        <v/>
      </c>
      <c r="C19" s="3">
        <f>C17 * $B$9</f>
        <v/>
      </c>
      <c r="D19" s="3">
        <f>D17 * $B$9</f>
        <v/>
      </c>
      <c r="E19" s="3">
        <f>E17 * $B$9</f>
        <v/>
      </c>
      <c r="F19" s="3">
        <f>F17 * $B$9</f>
        <v/>
      </c>
      <c r="G19" s="3">
        <f>G17 * $B$9</f>
        <v/>
      </c>
      <c r="H19" s="3">
        <f>H17 * $B$9</f>
        <v/>
      </c>
      <c r="I19" s="3">
        <f>I17 * $B$9</f>
        <v/>
      </c>
      <c r="J19" s="3">
        <f>J17 * $B$9</f>
        <v/>
      </c>
      <c r="K19" s="3">
        <f>K17 * $B$9</f>
        <v/>
      </c>
      <c r="L19" s="3">
        <f>L17 * $B$9</f>
        <v/>
      </c>
      <c r="M19" s="3">
        <f>M17 * $B$9</f>
        <v/>
      </c>
      <c r="N19" s="3">
        <f>N17 * $B$9</f>
        <v/>
      </c>
      <c r="O19" s="3">
        <f>O17 * $B$9</f>
        <v/>
      </c>
      <c r="P19" s="3">
        <f>P17 * $B$9</f>
        <v/>
      </c>
      <c r="Q19" s="3">
        <f>Q17 * $B$9</f>
        <v/>
      </c>
      <c r="R19" s="3">
        <f>R17 * $B$9</f>
        <v/>
      </c>
      <c r="S19" s="3">
        <f>S17 * $B$9</f>
        <v/>
      </c>
      <c r="T19" s="3">
        <f>T17 * $B$9</f>
        <v/>
      </c>
      <c r="U19" s="3">
        <f>U17 * $B$9</f>
        <v/>
      </c>
      <c r="V19" s="3">
        <f>V17 * $B$9</f>
        <v/>
      </c>
      <c r="W19" s="3">
        <f>W17 * $B$9</f>
        <v/>
      </c>
      <c r="X19" s="3">
        <f>X17 * $B$9</f>
        <v/>
      </c>
      <c r="Y19" s="3">
        <f>Y17 * $B$9</f>
        <v/>
      </c>
      <c r="Z19" s="3">
        <f>Z17 * $B$9</f>
        <v/>
      </c>
      <c r="AA19" s="3">
        <f>AA17 * $B$9</f>
        <v/>
      </c>
      <c r="AB19" s="3">
        <f>AB17 * $B$9</f>
        <v/>
      </c>
      <c r="AC19" s="3">
        <f>AC17 * $B$9</f>
        <v/>
      </c>
      <c r="AD19" s="3">
        <f>AD17 * $B$9</f>
        <v/>
      </c>
      <c r="AE19" s="3">
        <f>AE17 * $B$9</f>
        <v/>
      </c>
      <c r="AF19" s="3">
        <f>AF17 * $B$9</f>
        <v/>
      </c>
      <c r="AG19" s="3">
        <f>AG17 * $B$9</f>
        <v/>
      </c>
      <c r="AH19" s="3">
        <f>AH17 * $B$9</f>
        <v/>
      </c>
      <c r="AI19" s="3">
        <f>AI17 * $B$9</f>
        <v/>
      </c>
      <c r="AJ19" s="3">
        <f>AJ17 * $B$9</f>
        <v/>
      </c>
      <c r="AK19" s="3">
        <f>AK17 * $B$9</f>
        <v/>
      </c>
    </row>
    <row r="20">
      <c r="A20" s="2" t="inlineStr">
        <is>
          <t>売上総利益 (粗利 - Gross Profit)</t>
        </is>
      </c>
      <c r="B20" s="6">
        <f>B17 - B19</f>
        <v/>
      </c>
      <c r="C20" s="6">
        <f>C17 - C19</f>
        <v/>
      </c>
      <c r="D20" s="6">
        <f>D17 - D19</f>
        <v/>
      </c>
      <c r="E20" s="6">
        <f>E17 - E19</f>
        <v/>
      </c>
      <c r="F20" s="6">
        <f>F17 - F19</f>
        <v/>
      </c>
      <c r="G20" s="6">
        <f>G17 - G19</f>
        <v/>
      </c>
      <c r="H20" s="6">
        <f>H17 - H19</f>
        <v/>
      </c>
      <c r="I20" s="6">
        <f>I17 - I19</f>
        <v/>
      </c>
      <c r="J20" s="6">
        <f>J17 - J19</f>
        <v/>
      </c>
      <c r="K20" s="6">
        <f>K17 - K19</f>
        <v/>
      </c>
      <c r="L20" s="6">
        <f>L17 - L19</f>
        <v/>
      </c>
      <c r="M20" s="6">
        <f>M17 - M19</f>
        <v/>
      </c>
      <c r="N20" s="6">
        <f>N17 - N19</f>
        <v/>
      </c>
      <c r="O20" s="6">
        <f>O17 - O19</f>
        <v/>
      </c>
      <c r="P20" s="6">
        <f>P17 - P19</f>
        <v/>
      </c>
      <c r="Q20" s="6">
        <f>Q17 - Q19</f>
        <v/>
      </c>
      <c r="R20" s="6">
        <f>R17 - R19</f>
        <v/>
      </c>
      <c r="S20" s="6">
        <f>S17 - S19</f>
        <v/>
      </c>
      <c r="T20" s="6">
        <f>T17 - T19</f>
        <v/>
      </c>
      <c r="U20" s="6">
        <f>U17 - U19</f>
        <v/>
      </c>
      <c r="V20" s="6">
        <f>V17 - V19</f>
        <v/>
      </c>
      <c r="W20" s="6">
        <f>W17 - W19</f>
        <v/>
      </c>
      <c r="X20" s="6">
        <f>X17 - X19</f>
        <v/>
      </c>
      <c r="Y20" s="6">
        <f>Y17 - Y19</f>
        <v/>
      </c>
      <c r="Z20" s="6">
        <f>Z17 - Z19</f>
        <v/>
      </c>
      <c r="AA20" s="6">
        <f>AA17 - AA19</f>
        <v/>
      </c>
      <c r="AB20" s="6">
        <f>AB17 - AB19</f>
        <v/>
      </c>
      <c r="AC20" s="6">
        <f>AC17 - AC19</f>
        <v/>
      </c>
      <c r="AD20" s="6">
        <f>AD17 - AD19</f>
        <v/>
      </c>
      <c r="AE20" s="6">
        <f>AE17 - AE19</f>
        <v/>
      </c>
      <c r="AF20" s="6">
        <f>AF17 - AF19</f>
        <v/>
      </c>
      <c r="AG20" s="6">
        <f>AG17 - AG19</f>
        <v/>
      </c>
      <c r="AH20" s="6">
        <f>AH17 - AH19</f>
        <v/>
      </c>
      <c r="AI20" s="6">
        <f>AI17 - AI19</f>
        <v/>
      </c>
      <c r="AJ20" s="6">
        <f>AJ17 - AJ19</f>
        <v/>
      </c>
      <c r="AK20" s="6">
        <f>AK17 - AK19</f>
        <v/>
      </c>
    </row>
    <row r="21">
      <c r="A21" s="2" t="inlineStr">
        <is>
          <t>【販売費及び一般管理費】</t>
        </is>
      </c>
    </row>
    <row r="22">
      <c r="A22" t="inlineStr">
        <is>
          <t xml:space="preserve">  └ 広告宣伝費・マーケティング</t>
        </is>
      </c>
      <c r="B22" s="3">
        <f>IF(1&gt;=$B$5, $E$6, 0)</f>
        <v/>
      </c>
      <c r="C22" s="3">
        <f>IF(2&gt;=$B$5, $E$6, 0)</f>
        <v/>
      </c>
      <c r="D22" s="3">
        <f>IF(3&gt;=$B$5, $E$6, 0)</f>
        <v/>
      </c>
      <c r="E22" s="3">
        <f>IF(4&gt;=$B$5, $E$6, 0)</f>
        <v/>
      </c>
      <c r="F22" s="3">
        <f>IF(5&gt;=$B$5, $E$6, 0)</f>
        <v/>
      </c>
      <c r="G22" s="3">
        <f>IF(6&gt;=$B$5, $E$6, 0)</f>
        <v/>
      </c>
      <c r="H22" s="3">
        <f>IF(7&gt;=$B$5, $E$6, 0)</f>
        <v/>
      </c>
      <c r="I22" s="3">
        <f>IF(8&gt;=$B$5, $E$6, 0)</f>
        <v/>
      </c>
      <c r="J22" s="3">
        <f>IF(9&gt;=$B$5, $E$6, 0)</f>
        <v/>
      </c>
      <c r="K22" s="3">
        <f>IF(10&gt;=$B$5, $E$6, 0)</f>
        <v/>
      </c>
      <c r="L22" s="3">
        <f>IF(11&gt;=$B$5, $E$6, 0)</f>
        <v/>
      </c>
      <c r="M22" s="3">
        <f>IF(12&gt;=$B$5, $E$6, 0)</f>
        <v/>
      </c>
      <c r="N22" s="3">
        <f>IF(13&gt;=$B$5, $E$6, 0)</f>
        <v/>
      </c>
      <c r="O22" s="3">
        <f>IF(14&gt;=$B$5, $E$6, 0)</f>
        <v/>
      </c>
      <c r="P22" s="3">
        <f>IF(15&gt;=$B$5, $E$6, 0)</f>
        <v/>
      </c>
      <c r="Q22" s="3">
        <f>IF(16&gt;=$B$5, $E$6, 0)</f>
        <v/>
      </c>
      <c r="R22" s="3">
        <f>IF(17&gt;=$B$5, $E$6, 0)</f>
        <v/>
      </c>
      <c r="S22" s="3">
        <f>IF(18&gt;=$B$5, $E$6, 0)</f>
        <v/>
      </c>
      <c r="T22" s="3">
        <f>IF(19&gt;=$B$5, $E$6, 0)</f>
        <v/>
      </c>
      <c r="U22" s="3">
        <f>IF(20&gt;=$B$5, $E$6, 0)</f>
        <v/>
      </c>
      <c r="V22" s="3">
        <f>IF(21&gt;=$B$5, $E$6, 0)</f>
        <v/>
      </c>
      <c r="W22" s="3">
        <f>IF(22&gt;=$B$5, $E$6, 0)</f>
        <v/>
      </c>
      <c r="X22" s="3">
        <f>IF(23&gt;=$B$5, $E$6, 0)</f>
        <v/>
      </c>
      <c r="Y22" s="3">
        <f>IF(24&gt;=$B$5, $E$6, 0)</f>
        <v/>
      </c>
      <c r="Z22" s="3">
        <f>IF(25&gt;=$B$5, $E$6, 0)</f>
        <v/>
      </c>
      <c r="AA22" s="3">
        <f>IF(26&gt;=$B$5, $E$6, 0)</f>
        <v/>
      </c>
      <c r="AB22" s="3">
        <f>IF(27&gt;=$B$5, $E$6, 0)</f>
        <v/>
      </c>
      <c r="AC22" s="3">
        <f>IF(28&gt;=$B$5, $E$6, 0)</f>
        <v/>
      </c>
      <c r="AD22" s="3">
        <f>IF(29&gt;=$B$5, $E$6, 0)</f>
        <v/>
      </c>
      <c r="AE22" s="3">
        <f>IF(30&gt;=$B$5, $E$6, 0)</f>
        <v/>
      </c>
      <c r="AF22" s="3">
        <f>IF(31&gt;=$B$5, $E$6, 0)</f>
        <v/>
      </c>
      <c r="AG22" s="3">
        <f>IF(32&gt;=$B$5, $E$6, 0)</f>
        <v/>
      </c>
      <c r="AH22" s="3">
        <f>IF(33&gt;=$B$5, $E$6, 0)</f>
        <v/>
      </c>
      <c r="AI22" s="3">
        <f>IF(34&gt;=$B$5, $E$6, 0)</f>
        <v/>
      </c>
      <c r="AJ22" s="3">
        <f>IF(35&gt;=$B$5, $E$6, 0)</f>
        <v/>
      </c>
      <c r="AK22" s="3">
        <f>IF(36&gt;=$B$5, $E$6, 0)</f>
        <v/>
      </c>
    </row>
    <row r="23">
      <c r="A23" t="inlineStr">
        <is>
          <t xml:space="preserve">  └ 人件費 (組織)</t>
        </is>
      </c>
      <c r="B23" s="3">
        <f>IF(1&gt;=$B$5, $H$8, 0)</f>
        <v/>
      </c>
      <c r="C23" s="3">
        <f>IF(2&gt;=$B$5, $H$8, 0)</f>
        <v/>
      </c>
      <c r="D23" s="3">
        <f>IF(3&gt;=$B$5, $H$8, 0)</f>
        <v/>
      </c>
      <c r="E23" s="3">
        <f>IF(4&gt;=$B$5, $H$8, 0)</f>
        <v/>
      </c>
      <c r="F23" s="3">
        <f>IF(5&gt;=$B$5, $H$8, 0)</f>
        <v/>
      </c>
      <c r="G23" s="3">
        <f>IF(6&gt;=$B$5, $H$8, 0)</f>
        <v/>
      </c>
      <c r="H23" s="3">
        <f>IF(7&gt;=$B$5, $H$8, 0)</f>
        <v/>
      </c>
      <c r="I23" s="3">
        <f>IF(8&gt;=$B$5, $H$8, 0)</f>
        <v/>
      </c>
      <c r="J23" s="3">
        <f>IF(9&gt;=$B$5, $H$8, 0)</f>
        <v/>
      </c>
      <c r="K23" s="3">
        <f>IF(10&gt;=$B$5, $H$8, 0)</f>
        <v/>
      </c>
      <c r="L23" s="3">
        <f>IF(11&gt;=$B$5, $H$8, 0)</f>
        <v/>
      </c>
      <c r="M23" s="3">
        <f>IF(12&gt;=$B$5, $H$8, 0)</f>
        <v/>
      </c>
      <c r="N23" s="3">
        <f>IF(13&gt;=$B$5, $H$8, 0)</f>
        <v/>
      </c>
      <c r="O23" s="3">
        <f>IF(14&gt;=$B$5, $H$8, 0)</f>
        <v/>
      </c>
      <c r="P23" s="3">
        <f>IF(15&gt;=$B$5, $H$8, 0)</f>
        <v/>
      </c>
      <c r="Q23" s="3">
        <f>IF(16&gt;=$B$5, $H$8, 0)</f>
        <v/>
      </c>
      <c r="R23" s="3">
        <f>IF(17&gt;=$B$5, $H$8, 0)</f>
        <v/>
      </c>
      <c r="S23" s="3">
        <f>IF(18&gt;=$B$5, $H$8, 0)</f>
        <v/>
      </c>
      <c r="T23" s="3">
        <f>IF(19&gt;=$B$5, $H$8, 0)</f>
        <v/>
      </c>
      <c r="U23" s="3">
        <f>IF(20&gt;=$B$5, $H$8, 0)</f>
        <v/>
      </c>
      <c r="V23" s="3">
        <f>IF(21&gt;=$B$5, $H$8, 0)</f>
        <v/>
      </c>
      <c r="W23" s="3">
        <f>IF(22&gt;=$B$5, $H$8, 0)</f>
        <v/>
      </c>
      <c r="X23" s="3">
        <f>IF(23&gt;=$B$5, $H$8, 0)</f>
        <v/>
      </c>
      <c r="Y23" s="3">
        <f>IF(24&gt;=$B$5, $H$8, 0)</f>
        <v/>
      </c>
      <c r="Z23" s="3">
        <f>IF(25&gt;=$B$5, $H$8, 0)</f>
        <v/>
      </c>
      <c r="AA23" s="3">
        <f>IF(26&gt;=$B$5, $H$8, 0)</f>
        <v/>
      </c>
      <c r="AB23" s="3">
        <f>IF(27&gt;=$B$5, $H$8, 0)</f>
        <v/>
      </c>
      <c r="AC23" s="3">
        <f>IF(28&gt;=$B$5, $H$8, 0)</f>
        <v/>
      </c>
      <c r="AD23" s="3">
        <f>IF(29&gt;=$B$5, $H$8, 0)</f>
        <v/>
      </c>
      <c r="AE23" s="3">
        <f>IF(30&gt;=$B$5, $H$8, 0)</f>
        <v/>
      </c>
      <c r="AF23" s="3">
        <f>IF(31&gt;=$B$5, $H$8, 0)</f>
        <v/>
      </c>
      <c r="AG23" s="3">
        <f>IF(32&gt;=$B$5, $H$8, 0)</f>
        <v/>
      </c>
      <c r="AH23" s="3">
        <f>IF(33&gt;=$B$5, $H$8, 0)</f>
        <v/>
      </c>
      <c r="AI23" s="3">
        <f>IF(34&gt;=$B$5, $H$8, 0)</f>
        <v/>
      </c>
      <c r="AJ23" s="3">
        <f>IF(35&gt;=$B$5, $H$8, 0)</f>
        <v/>
      </c>
      <c r="AK23" s="3">
        <f>IF(36&gt;=$B$5, $H$8, 0)</f>
        <v/>
      </c>
    </row>
    <row r="24">
      <c r="A24" t="inlineStr">
        <is>
          <t xml:space="preserve">  └ 地代家賃等</t>
        </is>
      </c>
      <c r="B24" s="3">
        <f>IF(1&gt;=$B$5, $E$7, 0)</f>
        <v/>
      </c>
      <c r="C24" s="3">
        <f>IF(2&gt;=$B$5, $E$7, 0)</f>
        <v/>
      </c>
      <c r="D24" s="3">
        <f>IF(3&gt;=$B$5, $E$7, 0)</f>
        <v/>
      </c>
      <c r="E24" s="3">
        <f>IF(4&gt;=$B$5, $E$7, 0)</f>
        <v/>
      </c>
      <c r="F24" s="3">
        <f>IF(5&gt;=$B$5, $E$7, 0)</f>
        <v/>
      </c>
      <c r="G24" s="3">
        <f>IF(6&gt;=$B$5, $E$7, 0)</f>
        <v/>
      </c>
      <c r="H24" s="3">
        <f>IF(7&gt;=$B$5, $E$7, 0)</f>
        <v/>
      </c>
      <c r="I24" s="3">
        <f>IF(8&gt;=$B$5, $E$7, 0)</f>
        <v/>
      </c>
      <c r="J24" s="3">
        <f>IF(9&gt;=$B$5, $E$7, 0)</f>
        <v/>
      </c>
      <c r="K24" s="3">
        <f>IF(10&gt;=$B$5, $E$7, 0)</f>
        <v/>
      </c>
      <c r="L24" s="3">
        <f>IF(11&gt;=$B$5, $E$7, 0)</f>
        <v/>
      </c>
      <c r="M24" s="3">
        <f>IF(12&gt;=$B$5, $E$7, 0)</f>
        <v/>
      </c>
      <c r="N24" s="3">
        <f>IF(13&gt;=$B$5, $E$7, 0)</f>
        <v/>
      </c>
      <c r="O24" s="3">
        <f>IF(14&gt;=$B$5, $E$7, 0)</f>
        <v/>
      </c>
      <c r="P24" s="3">
        <f>IF(15&gt;=$B$5, $E$7, 0)</f>
        <v/>
      </c>
      <c r="Q24" s="3">
        <f>IF(16&gt;=$B$5, $E$7, 0)</f>
        <v/>
      </c>
      <c r="R24" s="3">
        <f>IF(17&gt;=$B$5, $E$7, 0)</f>
        <v/>
      </c>
      <c r="S24" s="3">
        <f>IF(18&gt;=$B$5, $E$7, 0)</f>
        <v/>
      </c>
      <c r="T24" s="3">
        <f>IF(19&gt;=$B$5, $E$7, 0)</f>
        <v/>
      </c>
      <c r="U24" s="3">
        <f>IF(20&gt;=$B$5, $E$7, 0)</f>
        <v/>
      </c>
      <c r="V24" s="3">
        <f>IF(21&gt;=$B$5, $E$7, 0)</f>
        <v/>
      </c>
      <c r="W24" s="3">
        <f>IF(22&gt;=$B$5, $E$7, 0)</f>
        <v/>
      </c>
      <c r="X24" s="3">
        <f>IF(23&gt;=$B$5, $E$7, 0)</f>
        <v/>
      </c>
      <c r="Y24" s="3">
        <f>IF(24&gt;=$B$5, $E$7, 0)</f>
        <v/>
      </c>
      <c r="Z24" s="3">
        <f>IF(25&gt;=$B$5, $E$7, 0)</f>
        <v/>
      </c>
      <c r="AA24" s="3">
        <f>IF(26&gt;=$B$5, $E$7, 0)</f>
        <v/>
      </c>
      <c r="AB24" s="3">
        <f>IF(27&gt;=$B$5, $E$7, 0)</f>
        <v/>
      </c>
      <c r="AC24" s="3">
        <f>IF(28&gt;=$B$5, $E$7, 0)</f>
        <v/>
      </c>
      <c r="AD24" s="3">
        <f>IF(29&gt;=$B$5, $E$7, 0)</f>
        <v/>
      </c>
      <c r="AE24" s="3">
        <f>IF(30&gt;=$B$5, $E$7, 0)</f>
        <v/>
      </c>
      <c r="AF24" s="3">
        <f>IF(31&gt;=$B$5, $E$7, 0)</f>
        <v/>
      </c>
      <c r="AG24" s="3">
        <f>IF(32&gt;=$B$5, $E$7, 0)</f>
        <v/>
      </c>
      <c r="AH24" s="3">
        <f>IF(33&gt;=$B$5, $E$7, 0)</f>
        <v/>
      </c>
      <c r="AI24" s="3">
        <f>IF(34&gt;=$B$5, $E$7, 0)</f>
        <v/>
      </c>
      <c r="AJ24" s="3">
        <f>IF(35&gt;=$B$5, $E$7, 0)</f>
        <v/>
      </c>
      <c r="AK24" s="3">
        <f>IF(36&gt;=$B$5, $E$7, 0)</f>
        <v/>
      </c>
    </row>
    <row r="25">
      <c r="A25" t="inlineStr">
        <is>
          <t xml:space="preserve">  └ ツール・サーバー管理費</t>
        </is>
      </c>
      <c r="B25" s="3">
        <f>IF(1&gt;=$B$5, $E$8, 0)</f>
        <v/>
      </c>
      <c r="C25" s="3">
        <f>IF(2&gt;=$B$5, $E$8, 0)</f>
        <v/>
      </c>
      <c r="D25" s="3">
        <f>IF(3&gt;=$B$5, $E$8, 0)</f>
        <v/>
      </c>
      <c r="E25" s="3">
        <f>IF(4&gt;=$B$5, $E$8, 0)</f>
        <v/>
      </c>
      <c r="F25" s="3">
        <f>IF(5&gt;=$B$5, $E$8, 0)</f>
        <v/>
      </c>
      <c r="G25" s="3">
        <f>IF(6&gt;=$B$5, $E$8, 0)</f>
        <v/>
      </c>
      <c r="H25" s="3">
        <f>IF(7&gt;=$B$5, $E$8, 0)</f>
        <v/>
      </c>
      <c r="I25" s="3">
        <f>IF(8&gt;=$B$5, $E$8, 0)</f>
        <v/>
      </c>
      <c r="J25" s="3">
        <f>IF(9&gt;=$B$5, $E$8, 0)</f>
        <v/>
      </c>
      <c r="K25" s="3">
        <f>IF(10&gt;=$B$5, $E$8, 0)</f>
        <v/>
      </c>
      <c r="L25" s="3">
        <f>IF(11&gt;=$B$5, $E$8, 0)</f>
        <v/>
      </c>
      <c r="M25" s="3">
        <f>IF(12&gt;=$B$5, $E$8, 0)</f>
        <v/>
      </c>
      <c r="N25" s="3">
        <f>IF(13&gt;=$B$5, $E$8, 0)</f>
        <v/>
      </c>
      <c r="O25" s="3">
        <f>IF(14&gt;=$B$5, $E$8, 0)</f>
        <v/>
      </c>
      <c r="P25" s="3">
        <f>IF(15&gt;=$B$5, $E$8, 0)</f>
        <v/>
      </c>
      <c r="Q25" s="3">
        <f>IF(16&gt;=$B$5, $E$8, 0)</f>
        <v/>
      </c>
      <c r="R25" s="3">
        <f>IF(17&gt;=$B$5, $E$8, 0)</f>
        <v/>
      </c>
      <c r="S25" s="3">
        <f>IF(18&gt;=$B$5, $E$8, 0)</f>
        <v/>
      </c>
      <c r="T25" s="3">
        <f>IF(19&gt;=$B$5, $E$8, 0)</f>
        <v/>
      </c>
      <c r="U25" s="3">
        <f>IF(20&gt;=$B$5, $E$8, 0)</f>
        <v/>
      </c>
      <c r="V25" s="3">
        <f>IF(21&gt;=$B$5, $E$8, 0)</f>
        <v/>
      </c>
      <c r="W25" s="3">
        <f>IF(22&gt;=$B$5, $E$8, 0)</f>
        <v/>
      </c>
      <c r="X25" s="3">
        <f>IF(23&gt;=$B$5, $E$8, 0)</f>
        <v/>
      </c>
      <c r="Y25" s="3">
        <f>IF(24&gt;=$B$5, $E$8, 0)</f>
        <v/>
      </c>
      <c r="Z25" s="3">
        <f>IF(25&gt;=$B$5, $E$8, 0)</f>
        <v/>
      </c>
      <c r="AA25" s="3">
        <f>IF(26&gt;=$B$5, $E$8, 0)</f>
        <v/>
      </c>
      <c r="AB25" s="3">
        <f>IF(27&gt;=$B$5, $E$8, 0)</f>
        <v/>
      </c>
      <c r="AC25" s="3">
        <f>IF(28&gt;=$B$5, $E$8, 0)</f>
        <v/>
      </c>
      <c r="AD25" s="3">
        <f>IF(29&gt;=$B$5, $E$8, 0)</f>
        <v/>
      </c>
      <c r="AE25" s="3">
        <f>IF(30&gt;=$B$5, $E$8, 0)</f>
        <v/>
      </c>
      <c r="AF25" s="3">
        <f>IF(31&gt;=$B$5, $E$8, 0)</f>
        <v/>
      </c>
      <c r="AG25" s="3">
        <f>IF(32&gt;=$B$5, $E$8, 0)</f>
        <v/>
      </c>
      <c r="AH25" s="3">
        <f>IF(33&gt;=$B$5, $E$8, 0)</f>
        <v/>
      </c>
      <c r="AI25" s="3">
        <f>IF(34&gt;=$B$5, $E$8, 0)</f>
        <v/>
      </c>
      <c r="AJ25" s="3">
        <f>IF(35&gt;=$B$5, $E$8, 0)</f>
        <v/>
      </c>
      <c r="AK25" s="3">
        <f>IF(36&gt;=$B$5, $E$8, 0)</f>
        <v/>
      </c>
    </row>
    <row r="26">
      <c r="A26" s="2" t="inlineStr">
        <is>
          <t>販管費 合計</t>
        </is>
      </c>
      <c r="B26" s="6">
        <f>SUM(B22:B25)</f>
        <v/>
      </c>
      <c r="C26" s="6">
        <f>SUM(C22:C25)</f>
        <v/>
      </c>
      <c r="D26" s="6">
        <f>SUM(D22:D25)</f>
        <v/>
      </c>
      <c r="E26" s="6">
        <f>SUM(E22:E25)</f>
        <v/>
      </c>
      <c r="F26" s="6">
        <f>SUM(F22:F25)</f>
        <v/>
      </c>
      <c r="G26" s="6">
        <f>SUM(G22:G25)</f>
        <v/>
      </c>
      <c r="H26" s="6">
        <f>SUM(H22:H25)</f>
        <v/>
      </c>
      <c r="I26" s="6">
        <f>SUM(I22:I25)</f>
        <v/>
      </c>
      <c r="J26" s="6">
        <f>SUM(J22:J25)</f>
        <v/>
      </c>
      <c r="K26" s="6">
        <f>SUM(K22:K25)</f>
        <v/>
      </c>
      <c r="L26" s="6">
        <f>SUM(L22:L25)</f>
        <v/>
      </c>
      <c r="M26" s="6">
        <f>SUM(M22:M25)</f>
        <v/>
      </c>
      <c r="N26" s="6">
        <f>SUM(N22:N25)</f>
        <v/>
      </c>
      <c r="O26" s="6">
        <f>SUM(O22:O25)</f>
        <v/>
      </c>
      <c r="P26" s="6">
        <f>SUM(P22:P25)</f>
        <v/>
      </c>
      <c r="Q26" s="6">
        <f>SUM(Q22:Q25)</f>
        <v/>
      </c>
      <c r="R26" s="6">
        <f>SUM(R22:R25)</f>
        <v/>
      </c>
      <c r="S26" s="6">
        <f>SUM(S22:S25)</f>
        <v/>
      </c>
      <c r="T26" s="6">
        <f>SUM(T22:T25)</f>
        <v/>
      </c>
      <c r="U26" s="6">
        <f>SUM(U22:U25)</f>
        <v/>
      </c>
      <c r="V26" s="6">
        <f>SUM(V22:V25)</f>
        <v/>
      </c>
      <c r="W26" s="6">
        <f>SUM(W22:W25)</f>
        <v/>
      </c>
      <c r="X26" s="6">
        <f>SUM(X22:X25)</f>
        <v/>
      </c>
      <c r="Y26" s="6">
        <f>SUM(Y22:Y25)</f>
        <v/>
      </c>
      <c r="Z26" s="6">
        <f>SUM(Z22:Z25)</f>
        <v/>
      </c>
      <c r="AA26" s="6">
        <f>SUM(AA22:AA25)</f>
        <v/>
      </c>
      <c r="AB26" s="6">
        <f>SUM(AB22:AB25)</f>
        <v/>
      </c>
      <c r="AC26" s="6">
        <f>SUM(AC22:AC25)</f>
        <v/>
      </c>
      <c r="AD26" s="6">
        <f>SUM(AD22:AD25)</f>
        <v/>
      </c>
      <c r="AE26" s="6">
        <f>SUM(AE22:AE25)</f>
        <v/>
      </c>
      <c r="AF26" s="6">
        <f>SUM(AF22:AF25)</f>
        <v/>
      </c>
      <c r="AG26" s="6">
        <f>SUM(AG22:AG25)</f>
        <v/>
      </c>
      <c r="AH26" s="6">
        <f>SUM(AH22:AH25)</f>
        <v/>
      </c>
      <c r="AI26" s="6">
        <f>SUM(AI22:AI25)</f>
        <v/>
      </c>
      <c r="AJ26" s="6">
        <f>SUM(AJ22:AJ25)</f>
        <v/>
      </c>
      <c r="AK26" s="6">
        <f>SUM(AK22:AK25)</f>
        <v/>
      </c>
    </row>
    <row r="27">
      <c r="A27" s="2" t="inlineStr">
        <is>
          <t>【営業利益 (EBITDA)】</t>
        </is>
      </c>
      <c r="B27" s="6">
        <f>B20 - B26</f>
        <v/>
      </c>
      <c r="C27" s="6">
        <f>C20 - C26</f>
        <v/>
      </c>
      <c r="D27" s="6">
        <f>D20 - D26</f>
        <v/>
      </c>
      <c r="E27" s="6">
        <f>E20 - E26</f>
        <v/>
      </c>
      <c r="F27" s="6">
        <f>F20 - F26</f>
        <v/>
      </c>
      <c r="G27" s="6">
        <f>G20 - G26</f>
        <v/>
      </c>
      <c r="H27" s="6">
        <f>H20 - H26</f>
        <v/>
      </c>
      <c r="I27" s="6">
        <f>I20 - I26</f>
        <v/>
      </c>
      <c r="J27" s="6">
        <f>J20 - J26</f>
        <v/>
      </c>
      <c r="K27" s="6">
        <f>K20 - K26</f>
        <v/>
      </c>
      <c r="L27" s="6">
        <f>L20 - L26</f>
        <v/>
      </c>
      <c r="M27" s="6">
        <f>M20 - M26</f>
        <v/>
      </c>
      <c r="N27" s="6">
        <f>N20 - N26</f>
        <v/>
      </c>
      <c r="O27" s="6">
        <f>O20 - O26</f>
        <v/>
      </c>
      <c r="P27" s="6">
        <f>P20 - P26</f>
        <v/>
      </c>
      <c r="Q27" s="6">
        <f>Q20 - Q26</f>
        <v/>
      </c>
      <c r="R27" s="6">
        <f>R20 - R26</f>
        <v/>
      </c>
      <c r="S27" s="6">
        <f>S20 - S26</f>
        <v/>
      </c>
      <c r="T27" s="6">
        <f>T20 - T26</f>
        <v/>
      </c>
      <c r="U27" s="6">
        <f>U20 - U26</f>
        <v/>
      </c>
      <c r="V27" s="6">
        <f>V20 - V26</f>
        <v/>
      </c>
      <c r="W27" s="6">
        <f>W20 - W26</f>
        <v/>
      </c>
      <c r="X27" s="6">
        <f>X20 - X26</f>
        <v/>
      </c>
      <c r="Y27" s="6">
        <f>Y20 - Y26</f>
        <v/>
      </c>
      <c r="Z27" s="6">
        <f>Z20 - Z26</f>
        <v/>
      </c>
      <c r="AA27" s="6">
        <f>AA20 - AA26</f>
        <v/>
      </c>
      <c r="AB27" s="6">
        <f>AB20 - AB26</f>
        <v/>
      </c>
      <c r="AC27" s="6">
        <f>AC20 - AC26</f>
        <v/>
      </c>
      <c r="AD27" s="6">
        <f>AD20 - AD26</f>
        <v/>
      </c>
      <c r="AE27" s="6">
        <f>AE20 - AE26</f>
        <v/>
      </c>
      <c r="AF27" s="6">
        <f>AF20 - AF26</f>
        <v/>
      </c>
      <c r="AG27" s="6">
        <f>AG20 - AG26</f>
        <v/>
      </c>
      <c r="AH27" s="6">
        <f>AH20 - AH26</f>
        <v/>
      </c>
      <c r="AI27" s="6">
        <f>AI20 - AI26</f>
        <v/>
      </c>
      <c r="AJ27" s="6">
        <f>AJ20 - AJ26</f>
        <v/>
      </c>
      <c r="AK27" s="6">
        <f>AK20 - AK26</f>
        <v/>
      </c>
    </row>
    <row r="28">
      <c r="A28" t="inlineStr">
        <is>
          <t>営業利益率</t>
        </is>
      </c>
      <c r="B28" s="4">
        <f>IF(B17&gt;0, B27/B17, 0)</f>
        <v/>
      </c>
      <c r="C28" s="4">
        <f>IF(C17&gt;0, C27/C17, 0)</f>
        <v/>
      </c>
      <c r="D28" s="4">
        <f>IF(D17&gt;0, D27/D17, 0)</f>
        <v/>
      </c>
      <c r="E28" s="4">
        <f>IF(E17&gt;0, E27/E17, 0)</f>
        <v/>
      </c>
      <c r="F28" s="4">
        <f>IF(F17&gt;0, F27/F17, 0)</f>
        <v/>
      </c>
      <c r="G28" s="4">
        <f>IF(G17&gt;0, G27/G17, 0)</f>
        <v/>
      </c>
      <c r="H28" s="4">
        <f>IF(H17&gt;0, H27/H17, 0)</f>
        <v/>
      </c>
      <c r="I28" s="4">
        <f>IF(I17&gt;0, I27/I17, 0)</f>
        <v/>
      </c>
      <c r="J28" s="4">
        <f>IF(J17&gt;0, J27/J17, 0)</f>
        <v/>
      </c>
      <c r="K28" s="4">
        <f>IF(K17&gt;0, K27/K17, 0)</f>
        <v/>
      </c>
      <c r="L28" s="4">
        <f>IF(L17&gt;0, L27/L17, 0)</f>
        <v/>
      </c>
      <c r="M28" s="4">
        <f>IF(M17&gt;0, M27/M17, 0)</f>
        <v/>
      </c>
      <c r="N28" s="4">
        <f>IF(N17&gt;0, N27/N17, 0)</f>
        <v/>
      </c>
      <c r="O28" s="4">
        <f>IF(O17&gt;0, O27/O17, 0)</f>
        <v/>
      </c>
      <c r="P28" s="4">
        <f>IF(P17&gt;0, P27/P17, 0)</f>
        <v/>
      </c>
      <c r="Q28" s="4">
        <f>IF(Q17&gt;0, Q27/Q17, 0)</f>
        <v/>
      </c>
      <c r="R28" s="4">
        <f>IF(R17&gt;0, R27/R17, 0)</f>
        <v/>
      </c>
      <c r="S28" s="4">
        <f>IF(S17&gt;0, S27/S17, 0)</f>
        <v/>
      </c>
      <c r="T28" s="4">
        <f>IF(T17&gt;0, T27/T17, 0)</f>
        <v/>
      </c>
      <c r="U28" s="4">
        <f>IF(U17&gt;0, U27/U17, 0)</f>
        <v/>
      </c>
      <c r="V28" s="4">
        <f>IF(V17&gt;0, V27/V17, 0)</f>
        <v/>
      </c>
      <c r="W28" s="4">
        <f>IF(W17&gt;0, W27/W17, 0)</f>
        <v/>
      </c>
      <c r="X28" s="4">
        <f>IF(X17&gt;0, X27/X17, 0)</f>
        <v/>
      </c>
      <c r="Y28" s="4">
        <f>IF(Y17&gt;0, Y27/Y17, 0)</f>
        <v/>
      </c>
      <c r="Z28" s="4">
        <f>IF(Z17&gt;0, Z27/Z17, 0)</f>
        <v/>
      </c>
      <c r="AA28" s="4">
        <f>IF(AA17&gt;0, AA27/AA17, 0)</f>
        <v/>
      </c>
      <c r="AB28" s="4">
        <f>IF(AB17&gt;0, AB27/AB17, 0)</f>
        <v/>
      </c>
      <c r="AC28" s="4">
        <f>IF(AC17&gt;0, AC27/AC17, 0)</f>
        <v/>
      </c>
      <c r="AD28" s="4">
        <f>IF(AD17&gt;0, AD27/AD17, 0)</f>
        <v/>
      </c>
      <c r="AE28" s="4">
        <f>IF(AE17&gt;0, AE27/AE17, 0)</f>
        <v/>
      </c>
      <c r="AF28" s="4">
        <f>IF(AF17&gt;0, AF27/AF17, 0)</f>
        <v/>
      </c>
      <c r="AG28" s="4">
        <f>IF(AG17&gt;0, AG27/AG17, 0)</f>
        <v/>
      </c>
      <c r="AH28" s="4">
        <f>IF(AH17&gt;0, AH27/AH17, 0)</f>
        <v/>
      </c>
      <c r="AI28" s="4">
        <f>IF(AI17&gt;0, AI27/AI17, 0)</f>
        <v/>
      </c>
      <c r="AJ28" s="4">
        <f>IF(AJ17&gt;0, AJ27/AJ17, 0)</f>
        <v/>
      </c>
      <c r="AK28" s="4">
        <f>IF(AK17&gt;0, AK27/AK17, 0)</f>
        <v/>
      </c>
    </row>
    <row r="29">
      <c r="A29" s="2" t="inlineStr">
        <is>
          <t>【投資CF・事業CF】</t>
        </is>
      </c>
    </row>
    <row r="30">
      <c r="A30" t="inlineStr">
        <is>
          <t xml:space="preserve">  └ 初期投資 (CAPEX)</t>
        </is>
      </c>
      <c r="B30" s="3">
        <f>IF(1=$B$5, $E$5, 0)</f>
        <v/>
      </c>
      <c r="C30" s="3">
        <f>IF(2=$B$5, $E$5, 0)</f>
        <v/>
      </c>
      <c r="D30" s="3">
        <f>IF(3=$B$5, $E$5, 0)</f>
        <v/>
      </c>
      <c r="E30" s="3">
        <f>IF(4=$B$5, $E$5, 0)</f>
        <v/>
      </c>
      <c r="F30" s="3">
        <f>IF(5=$B$5, $E$5, 0)</f>
        <v/>
      </c>
      <c r="G30" s="3">
        <f>IF(6=$B$5, $E$5, 0)</f>
        <v/>
      </c>
      <c r="H30" s="3">
        <f>IF(7=$B$5, $E$5, 0)</f>
        <v/>
      </c>
      <c r="I30" s="3">
        <f>IF(8=$B$5, $E$5, 0)</f>
        <v/>
      </c>
      <c r="J30" s="3">
        <f>IF(9=$B$5, $E$5, 0)</f>
        <v/>
      </c>
      <c r="K30" s="3">
        <f>IF(10=$B$5, $E$5, 0)</f>
        <v/>
      </c>
      <c r="L30" s="3">
        <f>IF(11=$B$5, $E$5, 0)</f>
        <v/>
      </c>
      <c r="M30" s="3">
        <f>IF(12=$B$5, $E$5, 0)</f>
        <v/>
      </c>
      <c r="N30" s="3">
        <f>IF(13=$B$5, $E$5, 0)</f>
        <v/>
      </c>
      <c r="O30" s="3">
        <f>IF(14=$B$5, $E$5, 0)</f>
        <v/>
      </c>
      <c r="P30" s="3">
        <f>IF(15=$B$5, $E$5, 0)</f>
        <v/>
      </c>
      <c r="Q30" s="3">
        <f>IF(16=$B$5, $E$5, 0)</f>
        <v/>
      </c>
      <c r="R30" s="3">
        <f>IF(17=$B$5, $E$5, 0)</f>
        <v/>
      </c>
      <c r="S30" s="3">
        <f>IF(18=$B$5, $E$5, 0)</f>
        <v/>
      </c>
      <c r="T30" s="3">
        <f>IF(19=$B$5, $E$5, 0)</f>
        <v/>
      </c>
      <c r="U30" s="3">
        <f>IF(20=$B$5, $E$5, 0)</f>
        <v/>
      </c>
      <c r="V30" s="3">
        <f>IF(21=$B$5, $E$5, 0)</f>
        <v/>
      </c>
      <c r="W30" s="3">
        <f>IF(22=$B$5, $E$5, 0)</f>
        <v/>
      </c>
      <c r="X30" s="3">
        <f>IF(23=$B$5, $E$5, 0)</f>
        <v/>
      </c>
      <c r="Y30" s="3">
        <f>IF(24=$B$5, $E$5, 0)</f>
        <v/>
      </c>
      <c r="Z30" s="3">
        <f>IF(25=$B$5, $E$5, 0)</f>
        <v/>
      </c>
      <c r="AA30" s="3">
        <f>IF(26=$B$5, $E$5, 0)</f>
        <v/>
      </c>
      <c r="AB30" s="3">
        <f>IF(27=$B$5, $E$5, 0)</f>
        <v/>
      </c>
      <c r="AC30" s="3">
        <f>IF(28=$B$5, $E$5, 0)</f>
        <v/>
      </c>
      <c r="AD30" s="3">
        <f>IF(29=$B$5, $E$5, 0)</f>
        <v/>
      </c>
      <c r="AE30" s="3">
        <f>IF(30=$B$5, $E$5, 0)</f>
        <v/>
      </c>
      <c r="AF30" s="3">
        <f>IF(31=$B$5, $E$5, 0)</f>
        <v/>
      </c>
      <c r="AG30" s="3">
        <f>IF(32=$B$5, $E$5, 0)</f>
        <v/>
      </c>
      <c r="AH30" s="3">
        <f>IF(33=$B$5, $E$5, 0)</f>
        <v/>
      </c>
      <c r="AI30" s="3">
        <f>IF(34=$B$5, $E$5, 0)</f>
        <v/>
      </c>
      <c r="AJ30" s="3">
        <f>IF(35=$B$5, $E$5, 0)</f>
        <v/>
      </c>
      <c r="AK30" s="3">
        <f>IF(36=$B$5, $E$5, 0)</f>
        <v/>
      </c>
    </row>
    <row r="31">
      <c r="A31" s="2" t="inlineStr">
        <is>
          <t>当月フリーキャッシュフロー</t>
        </is>
      </c>
      <c r="B31" s="6">
        <f>B27 - B30</f>
        <v/>
      </c>
      <c r="C31" s="6">
        <f>C27 - C30</f>
        <v/>
      </c>
      <c r="D31" s="6">
        <f>D27 - D30</f>
        <v/>
      </c>
      <c r="E31" s="6">
        <f>E27 - E30</f>
        <v/>
      </c>
      <c r="F31" s="6">
        <f>F27 - F30</f>
        <v/>
      </c>
      <c r="G31" s="6">
        <f>G27 - G30</f>
        <v/>
      </c>
      <c r="H31" s="6">
        <f>H27 - H30</f>
        <v/>
      </c>
      <c r="I31" s="6">
        <f>I27 - I30</f>
        <v/>
      </c>
      <c r="J31" s="6">
        <f>J27 - J30</f>
        <v/>
      </c>
      <c r="K31" s="6">
        <f>K27 - K30</f>
        <v/>
      </c>
      <c r="L31" s="6">
        <f>L27 - L30</f>
        <v/>
      </c>
      <c r="M31" s="6">
        <f>M27 - M30</f>
        <v/>
      </c>
      <c r="N31" s="6">
        <f>N27 - N30</f>
        <v/>
      </c>
      <c r="O31" s="6">
        <f>O27 - O30</f>
        <v/>
      </c>
      <c r="P31" s="6">
        <f>P27 - P30</f>
        <v/>
      </c>
      <c r="Q31" s="6">
        <f>Q27 - Q30</f>
        <v/>
      </c>
      <c r="R31" s="6">
        <f>R27 - R30</f>
        <v/>
      </c>
      <c r="S31" s="6">
        <f>S27 - S30</f>
        <v/>
      </c>
      <c r="T31" s="6">
        <f>T27 - T30</f>
        <v/>
      </c>
      <c r="U31" s="6">
        <f>U27 - U30</f>
        <v/>
      </c>
      <c r="V31" s="6">
        <f>V27 - V30</f>
        <v/>
      </c>
      <c r="W31" s="6">
        <f>W27 - W30</f>
        <v/>
      </c>
      <c r="X31" s="6">
        <f>X27 - X30</f>
        <v/>
      </c>
      <c r="Y31" s="6">
        <f>Y27 - Y30</f>
        <v/>
      </c>
      <c r="Z31" s="6">
        <f>Z27 - Z30</f>
        <v/>
      </c>
      <c r="AA31" s="6">
        <f>AA27 - AA30</f>
        <v/>
      </c>
      <c r="AB31" s="6">
        <f>AB27 - AB30</f>
        <v/>
      </c>
      <c r="AC31" s="6">
        <f>AC27 - AC30</f>
        <v/>
      </c>
      <c r="AD31" s="6">
        <f>AD27 - AD30</f>
        <v/>
      </c>
      <c r="AE31" s="6">
        <f>AE27 - AE30</f>
        <v/>
      </c>
      <c r="AF31" s="6">
        <f>AF27 - AF30</f>
        <v/>
      </c>
      <c r="AG31" s="6">
        <f>AG27 - AG30</f>
        <v/>
      </c>
      <c r="AH31" s="6">
        <f>AH27 - AH30</f>
        <v/>
      </c>
      <c r="AI31" s="6">
        <f>AI27 - AI30</f>
        <v/>
      </c>
      <c r="AJ31" s="6">
        <f>AJ27 - AJ30</f>
        <v/>
      </c>
      <c r="AK31" s="6">
        <f>AK27 - AK30</f>
        <v/>
      </c>
    </row>
    <row r="32">
      <c r="A32" s="2" t="inlineStr">
        <is>
          <t>累積キャッシュフロー (必要資金)</t>
        </is>
      </c>
      <c r="B32" s="6">
        <f>B31</f>
        <v/>
      </c>
      <c r="C32" s="6">
        <f>B32 + C31</f>
        <v/>
      </c>
      <c r="D32" s="6">
        <f>C32 + D31</f>
        <v/>
      </c>
      <c r="E32" s="6">
        <f>D32 + E31</f>
        <v/>
      </c>
      <c r="F32" s="6">
        <f>E32 + F31</f>
        <v/>
      </c>
      <c r="G32" s="6">
        <f>F32 + G31</f>
        <v/>
      </c>
      <c r="H32" s="6">
        <f>G32 + H31</f>
        <v/>
      </c>
      <c r="I32" s="6">
        <f>H32 + I31</f>
        <v/>
      </c>
      <c r="J32" s="6">
        <f>I32 + J31</f>
        <v/>
      </c>
      <c r="K32" s="6">
        <f>J32 + K31</f>
        <v/>
      </c>
      <c r="L32" s="6">
        <f>K32 + L31</f>
        <v/>
      </c>
      <c r="M32" s="6">
        <f>L32 + M31</f>
        <v/>
      </c>
      <c r="N32" s="6">
        <f>M32 + N31</f>
        <v/>
      </c>
      <c r="O32" s="6">
        <f>N32 + O31</f>
        <v/>
      </c>
      <c r="P32" s="6">
        <f>O32 + P31</f>
        <v/>
      </c>
      <c r="Q32" s="6">
        <f>P32 + Q31</f>
        <v/>
      </c>
      <c r="R32" s="6">
        <f>Q32 + R31</f>
        <v/>
      </c>
      <c r="S32" s="6">
        <f>R32 + S31</f>
        <v/>
      </c>
      <c r="T32" s="6">
        <f>S32 + T31</f>
        <v/>
      </c>
      <c r="U32" s="6">
        <f>T32 + U31</f>
        <v/>
      </c>
      <c r="V32" s="6">
        <f>U32 + V31</f>
        <v/>
      </c>
      <c r="W32" s="6">
        <f>V32 + W31</f>
        <v/>
      </c>
      <c r="X32" s="6">
        <f>W32 + X31</f>
        <v/>
      </c>
      <c r="Y32" s="6">
        <f>X32 + Y31</f>
        <v/>
      </c>
      <c r="Z32" s="6">
        <f>Y32 + Z31</f>
        <v/>
      </c>
      <c r="AA32" s="6">
        <f>Z32 + AA31</f>
        <v/>
      </c>
      <c r="AB32" s="6">
        <f>AA32 + AB31</f>
        <v/>
      </c>
      <c r="AC32" s="6">
        <f>AB32 + AC31</f>
        <v/>
      </c>
      <c r="AD32" s="6">
        <f>AC32 + AD31</f>
        <v/>
      </c>
      <c r="AE32" s="6">
        <f>AD32 + AE31</f>
        <v/>
      </c>
      <c r="AF32" s="6">
        <f>AE32 + AF31</f>
        <v/>
      </c>
      <c r="AG32" s="6">
        <f>AF32 + AG31</f>
        <v/>
      </c>
      <c r="AH32" s="6">
        <f>AG32 + AH31</f>
        <v/>
      </c>
      <c r="AI32" s="6">
        <f>AH32 + AI31</f>
        <v/>
      </c>
      <c r="AJ32" s="6">
        <f>AI32 + AJ31</f>
        <v/>
      </c>
      <c r="AK32" s="6">
        <f>AJ32 + AK31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2026-03-08T09:41:11Z</dcterms:created>
  <dcterms:modified xmlns:dcterms="http://purl.org/dc/terms/" xmlns:xsi="http://www.w3.org/2001/XMLSchema-instance" xsi:type="dcterms:W3CDTF">2026-03-08T09:41:11Z</dcterms:modified>
</cp:coreProperties>
</file>